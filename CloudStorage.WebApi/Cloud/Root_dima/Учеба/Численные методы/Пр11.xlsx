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УАвиаК\Численные методы\пр11\"/>
    </mc:Choice>
  </mc:AlternateContent>
  <xr:revisionPtr revIDLastSave="0" documentId="13_ncr:1_{1E2EFAE6-CFDD-48B1-91FD-934E94EDE7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7" i="2"/>
  <c r="J3" i="2"/>
  <c r="J2" i="2"/>
  <c r="J1" i="2"/>
  <c r="J4" i="2"/>
  <c r="I8" i="1"/>
  <c r="I9" i="1"/>
  <c r="I10" i="1"/>
  <c r="I7" i="1"/>
  <c r="J4" i="1"/>
  <c r="J3" i="1"/>
  <c r="J1" i="1"/>
  <c r="J2" i="1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C17" i="2"/>
  <c r="D17" i="2"/>
  <c r="E17" i="2"/>
  <c r="F17" i="2"/>
  <c r="B17" i="2"/>
  <c r="A13" i="2"/>
  <c r="A14" i="2"/>
  <c r="A15" i="2"/>
  <c r="A12" i="2"/>
  <c r="B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C12" i="2"/>
  <c r="D12" i="2"/>
  <c r="E12" i="2"/>
  <c r="F12" i="2"/>
  <c r="A8" i="2"/>
  <c r="A9" i="2"/>
  <c r="A10" i="2"/>
  <c r="A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C7" i="2"/>
  <c r="D7" i="2"/>
  <c r="E7" i="2"/>
  <c r="F7" i="2"/>
  <c r="B7" i="2"/>
  <c r="A4" i="2"/>
  <c r="A3" i="2"/>
  <c r="A5" i="2"/>
  <c r="A2" i="2"/>
  <c r="B17" i="1"/>
  <c r="C17" i="1"/>
  <c r="D17" i="1"/>
  <c r="D18" i="1"/>
  <c r="D20" i="1"/>
  <c r="E19" i="1"/>
  <c r="B19" i="1"/>
  <c r="B18" i="1"/>
  <c r="B20" i="1"/>
  <c r="E17" i="1"/>
  <c r="F17" i="1"/>
  <c r="C18" i="1"/>
  <c r="E18" i="1"/>
  <c r="F18" i="1"/>
  <c r="C19" i="1"/>
  <c r="D19" i="1"/>
  <c r="F19" i="1"/>
  <c r="C20" i="1"/>
  <c r="E20" i="1"/>
  <c r="F20" i="1"/>
  <c r="B14" i="1"/>
  <c r="A15" i="1"/>
  <c r="A13" i="1"/>
  <c r="A14" i="1"/>
  <c r="A12" i="1"/>
  <c r="A7" i="1"/>
  <c r="B13" i="1"/>
  <c r="B12" i="1"/>
  <c r="C12" i="1"/>
  <c r="C15" i="1"/>
  <c r="D15" i="1"/>
  <c r="E15" i="1"/>
  <c r="F15" i="1"/>
  <c r="B15" i="1"/>
  <c r="F14" i="1"/>
  <c r="E14" i="1"/>
  <c r="D14" i="1"/>
  <c r="C14" i="1"/>
  <c r="C13" i="1"/>
  <c r="D13" i="1"/>
  <c r="E13" i="1"/>
  <c r="F13" i="1"/>
  <c r="D12" i="1"/>
  <c r="E12" i="1"/>
  <c r="F12" i="1"/>
  <c r="A8" i="1"/>
  <c r="A9" i="1"/>
  <c r="A10" i="1"/>
  <c r="C10" i="1"/>
  <c r="D10" i="1"/>
  <c r="E10" i="1"/>
  <c r="F10" i="1"/>
  <c r="B10" i="1"/>
  <c r="C9" i="1"/>
  <c r="D9" i="1"/>
  <c r="E9" i="1"/>
  <c r="F9" i="1"/>
  <c r="B9" i="1"/>
  <c r="C8" i="1"/>
  <c r="D8" i="1"/>
  <c r="E8" i="1"/>
  <c r="F8" i="1"/>
  <c r="B8" i="1"/>
  <c r="C7" i="1"/>
  <c r="D7" i="1"/>
  <c r="E7" i="1"/>
  <c r="F7" i="1"/>
  <c r="B7" i="1"/>
  <c r="A5" i="1"/>
  <c r="A4" i="1"/>
  <c r="A3" i="1"/>
  <c r="A2" i="1"/>
</calcChain>
</file>

<file path=xl/sharedStrings.xml><?xml version="1.0" encoding="utf-8"?>
<sst xmlns="http://schemas.openxmlformats.org/spreadsheetml/2006/main" count="28" uniqueCount="14">
  <si>
    <t>x1</t>
  </si>
  <si>
    <t>x2</t>
  </si>
  <si>
    <t>x3</t>
  </si>
  <si>
    <t>x4</t>
  </si>
  <si>
    <t>b</t>
  </si>
  <si>
    <t>mi</t>
  </si>
  <si>
    <t xml:space="preserve"> -7,02*x2= -2,49</t>
  </si>
  <si>
    <t xml:space="preserve"> 7,26*x1+6,19*x2+(-16,56)*x3=-5,87</t>
  </si>
  <si>
    <t xml:space="preserve"> 12,48*x1+(-2,35)*x2=12,80</t>
  </si>
  <si>
    <t xml:space="preserve"> 6,40*x1+7,20*x2+(-8,30)*x3+42,00*x4=2,23</t>
  </si>
  <si>
    <t xml:space="preserve"> -0,39*x4=-0,04</t>
  </si>
  <si>
    <t xml:space="preserve"> 0,99*x1+0,45*x4=0,03</t>
  </si>
  <si>
    <t xml:space="preserve"> 0,32*x1+(-2,99)*x2+0,56*x4=1,35</t>
  </si>
  <si>
    <t xml:space="preserve"> 1,00*x1+0,24*x2+(-3,05)*x3+(-0,22)*x4=3,41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</si>
</sst>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2" borderId="1" xfId="1" applyNumberForma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0" fillId="0" borderId="0" xfId="0" applyNumberFormat="1"/>
    <xf numFmtId="2" fontId="3" fillId="0" borderId="0" xfId="0" applyNumberFormat="1" applyFont="1"/>
    <xf numFmtId="2" fontId="3" fillId="0" borderId="0" xfId="0" applyNumberFormat="1" applyFont="1" applyFill="1" applyBorder="1"/>
    <xf numFmtId="2" fontId="3" fillId="3" borderId="0" xfId="0" applyNumberFormat="1" applyFont="1" applyFill="1"/>
    <xf numFmtId="2" fontId="2" fillId="2" borderId="1" xfId="1" applyNumberFormat="1" applyFont="1" applyBorder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1" fillId="2" borderId="0" xfId="1" applyNumberFormat="1" applyAlignment="1">
      <alignment horizontal="right"/>
    </xf>
    <xf numFmtId="2" fontId="1" fillId="2" borderId="0" xfId="1" applyNumberForma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15" zoomScaleNormal="115" workbookViewId="0">
      <selection activeCell="K8" sqref="K8"/>
    </sheetView>
  </sheetViews>
  <sheetFormatPr defaultRowHeight="15" x14ac:dyDescent="0.25"/>
  <cols>
    <col min="2" max="6" width="8.85546875" customWidth="1"/>
    <col min="8" max="8" width="41.85546875" style="12" customWidth="1"/>
    <col min="9" max="9" width="17.5703125" style="13" customWidth="1"/>
    <col min="10" max="10" width="13.28515625" customWidth="1"/>
  </cols>
  <sheetData>
    <row r="1" spans="1:10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t="s">
        <v>6</v>
      </c>
      <c r="I1" s="12" t="s">
        <v>0</v>
      </c>
      <c r="J1" s="6">
        <f>(F13-C13*J2)/B13</f>
        <v>1.0926179101538798</v>
      </c>
    </row>
    <row r="2" spans="1:10" x14ac:dyDescent="0.25">
      <c r="A2" s="7">
        <f>E2/-$E$2</f>
        <v>-1</v>
      </c>
      <c r="B2" s="4">
        <v>6.4</v>
      </c>
      <c r="C2" s="4">
        <v>7.2</v>
      </c>
      <c r="D2" s="4">
        <v>-8.3000000000000007</v>
      </c>
      <c r="E2" s="5">
        <v>42</v>
      </c>
      <c r="F2" s="3">
        <v>2.23</v>
      </c>
      <c r="H2" s="12" t="s">
        <v>8</v>
      </c>
      <c r="I2" s="12" t="s">
        <v>1</v>
      </c>
      <c r="J2" s="6">
        <f>F20/C20</f>
        <v>0.35510637056814132</v>
      </c>
    </row>
    <row r="3" spans="1:10" x14ac:dyDescent="0.25">
      <c r="A3" s="7">
        <f t="shared" ref="A3" si="0">E3/-$E$2</f>
        <v>0.14761904761904762</v>
      </c>
      <c r="B3" s="2">
        <v>5.8</v>
      </c>
      <c r="C3" s="2">
        <v>-8.3000000000000007</v>
      </c>
      <c r="D3" s="2">
        <v>14.3</v>
      </c>
      <c r="E3" s="2">
        <v>-6.2</v>
      </c>
      <c r="F3" s="3">
        <v>17.100000000000001</v>
      </c>
      <c r="H3" s="12" t="s">
        <v>7</v>
      </c>
      <c r="I3" s="12" t="s">
        <v>2</v>
      </c>
      <c r="J3" s="6">
        <f>(F9-C9*J2-B9*J1)/D9</f>
        <v>0.9659601027233512</v>
      </c>
    </row>
    <row r="4" spans="1:10" x14ac:dyDescent="0.25">
      <c r="A4" s="7">
        <f>E4/-$E$2</f>
        <v>-0.20952380952380953</v>
      </c>
      <c r="B4" s="2">
        <v>8.6</v>
      </c>
      <c r="C4" s="2">
        <v>7.7</v>
      </c>
      <c r="D4" s="2">
        <v>-18.3</v>
      </c>
      <c r="E4" s="2">
        <v>8.8000000000000007</v>
      </c>
      <c r="F4" s="3">
        <v>-5.4</v>
      </c>
      <c r="H4" s="12" t="s">
        <v>9</v>
      </c>
      <c r="I4" s="12" t="s">
        <v>3</v>
      </c>
      <c r="J4" s="6">
        <f>(F2-D2*J3-C2*J2-B2*J1)/E2</f>
        <v>1.6617818084008768E-2</v>
      </c>
    </row>
    <row r="5" spans="1:10" x14ac:dyDescent="0.25">
      <c r="A5" s="7">
        <f>E5/-$E$2</f>
        <v>-0.29047619047619044</v>
      </c>
      <c r="B5" s="2">
        <v>13.2</v>
      </c>
      <c r="C5" s="2">
        <v>-5.2</v>
      </c>
      <c r="D5" s="2">
        <v>-6.5</v>
      </c>
      <c r="E5" s="2">
        <v>12.2</v>
      </c>
      <c r="F5" s="3">
        <v>6.5</v>
      </c>
    </row>
    <row r="7" spans="1:10" x14ac:dyDescent="0.25">
      <c r="A7" s="8">
        <f>D7/-$D$9</f>
        <v>0</v>
      </c>
      <c r="B7" s="6">
        <f>B2*$A$2+B2</f>
        <v>0</v>
      </c>
      <c r="C7" s="6">
        <f t="shared" ref="C7:F7" si="1">C2*$A$2+C2</f>
        <v>0</v>
      </c>
      <c r="D7" s="6">
        <f t="shared" si="1"/>
        <v>0</v>
      </c>
      <c r="E7" s="6">
        <f t="shared" si="1"/>
        <v>0</v>
      </c>
      <c r="F7" s="6">
        <f t="shared" si="1"/>
        <v>0</v>
      </c>
      <c r="I7" s="14">
        <f>B2*$J$1+C2*$J$2+$J$3*D2+E2*$J$4</f>
        <v>2.2300000000000004</v>
      </c>
    </row>
    <row r="8" spans="1:10" x14ac:dyDescent="0.25">
      <c r="A8" s="8">
        <f t="shared" ref="A8:A10" si="2">D8/-$D$9</f>
        <v>0.7894933578699177</v>
      </c>
      <c r="B8" s="6">
        <f>B2*$A$3+B3</f>
        <v>6.744761904761905</v>
      </c>
      <c r="C8" s="6">
        <f t="shared" ref="C8:F8" si="3">C2*$A$3+C3</f>
        <v>-7.2371428571428575</v>
      </c>
      <c r="D8" s="6">
        <f t="shared" si="3"/>
        <v>13.074761904761905</v>
      </c>
      <c r="E8" s="6">
        <f t="shared" si="3"/>
        <v>0</v>
      </c>
      <c r="F8" s="6">
        <f t="shared" si="3"/>
        <v>17.429190476190477</v>
      </c>
      <c r="I8" s="14">
        <f>B3*$J$1+C3*$J$2+$J$3*D3+E3*$J$4</f>
        <v>17.099999999999998</v>
      </c>
    </row>
    <row r="9" spans="1:10" x14ac:dyDescent="0.25">
      <c r="A9" s="8">
        <f t="shared" si="2"/>
        <v>-1</v>
      </c>
      <c r="B9" s="7">
        <f>B2*$A$4+B4</f>
        <v>7.2590476190476183</v>
      </c>
      <c r="C9" s="7">
        <f t="shared" ref="C9:F9" si="4">C2*$A$4+C4</f>
        <v>6.1914285714285713</v>
      </c>
      <c r="D9" s="9">
        <f t="shared" si="4"/>
        <v>-16.560952380952383</v>
      </c>
      <c r="E9" s="7">
        <f t="shared" si="4"/>
        <v>0</v>
      </c>
      <c r="F9" s="7">
        <f t="shared" si="4"/>
        <v>-5.8672380952380951</v>
      </c>
      <c r="I9" s="14">
        <f>B4*$J$1+C4*$J$2+$J$3*D4+E4*$J$4</f>
        <v>-5.3999999999999932</v>
      </c>
    </row>
    <row r="10" spans="1:10" x14ac:dyDescent="0.25">
      <c r="A10" s="8">
        <f t="shared" si="2"/>
        <v>-0.24690896543792051</v>
      </c>
      <c r="B10" s="6">
        <f>B2*$A$5+B5</f>
        <v>11.34095238095238</v>
      </c>
      <c r="C10" s="6">
        <f t="shared" ref="C10:F10" si="5">C2*$A$5+C5</f>
        <v>-7.2914285714285718</v>
      </c>
      <c r="D10" s="6">
        <f t="shared" si="5"/>
        <v>-4.0890476190476193</v>
      </c>
      <c r="E10" s="6">
        <f t="shared" si="5"/>
        <v>0</v>
      </c>
      <c r="F10" s="6">
        <f t="shared" si="5"/>
        <v>5.8522380952380955</v>
      </c>
      <c r="I10" s="14">
        <f>B5*$J$1+C5*$J$2+$J$3*D5+E5*$J$4</f>
        <v>6.5000000000000018</v>
      </c>
    </row>
    <row r="12" spans="1:10" x14ac:dyDescent="0.25">
      <c r="A12" s="8">
        <f>B12/-$B$13</f>
        <v>0</v>
      </c>
      <c r="B12" s="6">
        <f>B9*$A$7+B7</f>
        <v>0</v>
      </c>
      <c r="C12" s="6">
        <f>C9*$A$7+C7</f>
        <v>0</v>
      </c>
      <c r="D12" s="6">
        <f t="shared" ref="D12:F12" si="6">D9*$A$7+D7</f>
        <v>0</v>
      </c>
      <c r="E12" s="6">
        <f t="shared" si="6"/>
        <v>0</v>
      </c>
      <c r="F12" s="6">
        <f t="shared" si="6"/>
        <v>0</v>
      </c>
    </row>
    <row r="13" spans="1:10" x14ac:dyDescent="0.25">
      <c r="A13" s="8">
        <f t="shared" ref="A13:A14" si="7">B13/-$B$13</f>
        <v>-1</v>
      </c>
      <c r="B13" s="9">
        <f>B9*$A$8+B8</f>
        <v>12.475731784461441</v>
      </c>
      <c r="C13" s="7">
        <f t="shared" ref="C13:F13" si="8">C9*$A$8+C8</f>
        <v>-2.3490511242739673</v>
      </c>
      <c r="D13" s="7">
        <f t="shared" si="8"/>
        <v>0</v>
      </c>
      <c r="E13" s="7">
        <f t="shared" si="8"/>
        <v>0</v>
      </c>
      <c r="F13" s="7">
        <f t="shared" si="8"/>
        <v>12.797044970958654</v>
      </c>
    </row>
    <row r="14" spans="1:10" x14ac:dyDescent="0.25">
      <c r="A14" s="8">
        <f t="shared" si="7"/>
        <v>0</v>
      </c>
      <c r="B14" s="6">
        <f>B9*$A$9+B9</f>
        <v>0</v>
      </c>
      <c r="C14" s="6">
        <f t="shared" ref="C14:F14" si="9">C9*$A$9+C9</f>
        <v>0</v>
      </c>
      <c r="D14" s="6">
        <f t="shared" si="9"/>
        <v>0</v>
      </c>
      <c r="E14" s="6">
        <f t="shared" si="9"/>
        <v>0</v>
      </c>
      <c r="F14" s="6">
        <f t="shared" si="9"/>
        <v>0</v>
      </c>
    </row>
    <row r="15" spans="1:10" x14ac:dyDescent="0.25">
      <c r="A15" s="8">
        <f>B15/-$B$13</f>
        <v>-0.76537622066880084</v>
      </c>
      <c r="B15" s="6">
        <f>B9*$A$10+B10</f>
        <v>9.5486284432687327</v>
      </c>
      <c r="C15" s="6">
        <f t="shared" ref="C15:F15" si="10">C9*$A$10+C10</f>
        <v>-8.8201477945827822</v>
      </c>
      <c r="D15" s="6">
        <f t="shared" si="10"/>
        <v>0</v>
      </c>
      <c r="E15" s="6">
        <f t="shared" si="10"/>
        <v>0</v>
      </c>
      <c r="F15" s="6">
        <f t="shared" si="10"/>
        <v>7.3009117833112889</v>
      </c>
    </row>
    <row r="17" spans="2:6" x14ac:dyDescent="0.25">
      <c r="B17" s="6">
        <f>B13*$A$12+B12</f>
        <v>0</v>
      </c>
      <c r="C17" s="6">
        <f t="shared" ref="C17:F17" si="11">C13*$A$12+C12</f>
        <v>0</v>
      </c>
      <c r="D17" s="6">
        <f t="shared" si="11"/>
        <v>0</v>
      </c>
      <c r="E17" s="6">
        <f t="shared" si="11"/>
        <v>0</v>
      </c>
      <c r="F17" s="6">
        <f t="shared" si="11"/>
        <v>0</v>
      </c>
    </row>
    <row r="18" spans="2:6" x14ac:dyDescent="0.25">
      <c r="B18" s="6">
        <f>B13*$A$13+B13</f>
        <v>0</v>
      </c>
      <c r="C18" s="6">
        <f t="shared" ref="C18:F18" si="12">C13*$A$13+C13</f>
        <v>0</v>
      </c>
      <c r="D18" s="6">
        <f t="shared" si="12"/>
        <v>0</v>
      </c>
      <c r="E18" s="6">
        <f t="shared" si="12"/>
        <v>0</v>
      </c>
      <c r="F18" s="6">
        <f t="shared" si="12"/>
        <v>0</v>
      </c>
    </row>
    <row r="19" spans="2:6" x14ac:dyDescent="0.25">
      <c r="B19" s="6">
        <f>B13*$A$14+B14</f>
        <v>0</v>
      </c>
      <c r="C19" s="6">
        <f t="shared" ref="C19:F19" si="13">C13*$A$14+C14</f>
        <v>0</v>
      </c>
      <c r="D19" s="6">
        <f t="shared" si="13"/>
        <v>0</v>
      </c>
      <c r="E19" s="6">
        <f t="shared" si="13"/>
        <v>0</v>
      </c>
      <c r="F19" s="6">
        <f t="shared" si="13"/>
        <v>0</v>
      </c>
    </row>
    <row r="20" spans="2:6" x14ac:dyDescent="0.25">
      <c r="B20" s="7">
        <f>B13*$A$15+B15</f>
        <v>0</v>
      </c>
      <c r="C20" s="7">
        <f t="shared" ref="C20:F20" si="14">C13*$A$15+C15</f>
        <v>-7.0222399229281756</v>
      </c>
      <c r="D20" s="7">
        <f t="shared" si="14"/>
        <v>0</v>
      </c>
      <c r="E20" s="7">
        <f t="shared" si="14"/>
        <v>0</v>
      </c>
      <c r="F20" s="7">
        <f t="shared" si="14"/>
        <v>-2.4936421322897289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90AB-2CD1-4D7B-95EE-87AC957B0A7B}">
  <dimension ref="A1:J20"/>
  <sheetViews>
    <sheetView zoomScale="115" zoomScaleNormal="115" workbookViewId="0">
      <selection activeCell="L10" sqref="L10"/>
    </sheetView>
  </sheetViews>
  <sheetFormatPr defaultRowHeight="15" x14ac:dyDescent="0.25"/>
  <cols>
    <col min="8" max="8" width="42.42578125" customWidth="1"/>
    <col min="9" max="9" width="16.5703125" customWidth="1"/>
    <col min="10" max="10" width="12.85546875" customWidth="1"/>
  </cols>
  <sheetData>
    <row r="1" spans="1:10" x14ac:dyDescent="0.2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1" t="s">
        <v>10</v>
      </c>
      <c r="I1" s="11" t="s">
        <v>0</v>
      </c>
      <c r="J1" s="6">
        <f>(F12-E12*J4)/B12</f>
        <v>-2.2552345170625838E-2</v>
      </c>
    </row>
    <row r="2" spans="1:10" x14ac:dyDescent="0.25">
      <c r="A2" s="7">
        <f>D2/-$D$5</f>
        <v>3.9344262295081971E-2</v>
      </c>
      <c r="B2" s="2">
        <v>1</v>
      </c>
      <c r="C2" s="2">
        <v>-0.51</v>
      </c>
      <c r="D2" s="2">
        <v>0.12</v>
      </c>
      <c r="E2" s="2">
        <v>0.55000000000000004</v>
      </c>
      <c r="F2" s="3">
        <v>0.12</v>
      </c>
      <c r="H2" t="s">
        <v>11</v>
      </c>
      <c r="I2" t="s">
        <v>1</v>
      </c>
      <c r="J2" s="6">
        <f>(F9-E9*J4-B9*J1)/C9</f>
        <v>-0.43234492727429713</v>
      </c>
    </row>
    <row r="3" spans="1:10" x14ac:dyDescent="0.25">
      <c r="A3" s="7">
        <f t="shared" ref="A3:A5" si="0">D3/-$D$5</f>
        <v>-7.2131147540983612E-2</v>
      </c>
      <c r="B3" s="2">
        <v>0.12</v>
      </c>
      <c r="C3" s="2">
        <v>0.18</v>
      </c>
      <c r="D3" s="2">
        <v>-0.22</v>
      </c>
      <c r="E3" s="2">
        <v>-0.41</v>
      </c>
      <c r="F3" s="3">
        <v>0.13</v>
      </c>
      <c r="H3" t="s">
        <v>12</v>
      </c>
      <c r="I3" t="s">
        <v>2</v>
      </c>
      <c r="J3" s="6">
        <f>(F5-E5*J4-C5*J2-B5*J1)/D5</f>
        <v>-1.1676008329849272</v>
      </c>
    </row>
    <row r="4" spans="1:10" x14ac:dyDescent="0.25">
      <c r="A4" s="7">
        <f>D4/-$D$5</f>
        <v>0.10163934426229508</v>
      </c>
      <c r="B4" s="2">
        <v>0.22</v>
      </c>
      <c r="C4" s="2">
        <v>-3.01</v>
      </c>
      <c r="D4" s="2">
        <v>0.31</v>
      </c>
      <c r="E4" s="2">
        <v>0.57999999999999996</v>
      </c>
      <c r="F4" s="3">
        <v>1</v>
      </c>
      <c r="H4" t="s">
        <v>13</v>
      </c>
      <c r="I4" t="s">
        <v>3</v>
      </c>
      <c r="J4" s="6">
        <f>F18/E18</f>
        <v>0.11303369494350091</v>
      </c>
    </row>
    <row r="5" spans="1:10" x14ac:dyDescent="0.25">
      <c r="A5" s="7">
        <f t="shared" si="0"/>
        <v>-1</v>
      </c>
      <c r="B5" s="4">
        <v>1</v>
      </c>
      <c r="C5" s="4">
        <v>0.24</v>
      </c>
      <c r="D5" s="5">
        <v>-3.05</v>
      </c>
      <c r="E5" s="4">
        <v>-0.22</v>
      </c>
      <c r="F5" s="10">
        <v>3.41</v>
      </c>
    </row>
    <row r="7" spans="1:10" x14ac:dyDescent="0.25">
      <c r="A7" s="8">
        <f>C7/-$C$9</f>
        <v>-0.1676568454113177</v>
      </c>
      <c r="B7" s="6">
        <f>B$5*$A2+B2</f>
        <v>1.0393442622950819</v>
      </c>
      <c r="C7" s="6">
        <f t="shared" ref="C7:F7" si="1">C$5*$A2+C2</f>
        <v>-0.50055737704918035</v>
      </c>
      <c r="D7" s="6">
        <f t="shared" si="1"/>
        <v>0</v>
      </c>
      <c r="E7" s="6">
        <f t="shared" si="1"/>
        <v>0.54134426229508203</v>
      </c>
      <c r="F7" s="6">
        <f t="shared" si="1"/>
        <v>0.25416393442622953</v>
      </c>
      <c r="I7" s="15">
        <f>B2*$J$1+C2*$J$2+D2*$J$3+E2*$J$4</f>
        <v>0.11999999999999993</v>
      </c>
    </row>
    <row r="8" spans="1:10" x14ac:dyDescent="0.25">
      <c r="A8" s="8">
        <f t="shared" ref="A8:A10" si="2">C8/-$C$9</f>
        <v>5.4490945629852509E-2</v>
      </c>
      <c r="B8" s="6">
        <f t="shared" ref="B8:F8" si="3">B$5*$A3+B3</f>
        <v>4.7868852459016384E-2</v>
      </c>
      <c r="C8" s="6">
        <f t="shared" si="3"/>
        <v>0.16268852459016392</v>
      </c>
      <c r="D8" s="6">
        <f t="shared" si="3"/>
        <v>0</v>
      </c>
      <c r="E8" s="6">
        <f t="shared" si="3"/>
        <v>-0.39413114754098361</v>
      </c>
      <c r="F8" s="6">
        <f t="shared" si="3"/>
        <v>-0.11596721311475411</v>
      </c>
      <c r="I8" s="15">
        <f t="shared" ref="I8:I10" si="4">B3*$J$1+C3*$J$2+D3*$J$3+E3*$J$4</f>
        <v>0.13000000000000003</v>
      </c>
    </row>
    <row r="9" spans="1:10" x14ac:dyDescent="0.25">
      <c r="A9" s="8">
        <f t="shared" si="2"/>
        <v>-1</v>
      </c>
      <c r="B9" s="7">
        <f t="shared" ref="B9:F9" si="5">B$5*$A4+B4</f>
        <v>0.32163934426229507</v>
      </c>
      <c r="C9" s="9">
        <f t="shared" si="5"/>
        <v>-2.9856065573770492</v>
      </c>
      <c r="D9" s="7">
        <f t="shared" si="5"/>
        <v>0</v>
      </c>
      <c r="E9" s="7">
        <f t="shared" si="5"/>
        <v>0.557639344262295</v>
      </c>
      <c r="F9" s="7">
        <f t="shared" si="5"/>
        <v>1.3465901639344262</v>
      </c>
      <c r="I9" s="15">
        <f t="shared" si="4"/>
        <v>0.99999999999999967</v>
      </c>
    </row>
    <row r="10" spans="1:10" x14ac:dyDescent="0.25">
      <c r="A10" s="8">
        <f t="shared" si="2"/>
        <v>0</v>
      </c>
      <c r="B10" s="6">
        <f t="shared" ref="B10:F10" si="6">B$5*$A5+B5</f>
        <v>0</v>
      </c>
      <c r="C10" s="6">
        <f t="shared" si="6"/>
        <v>0</v>
      </c>
      <c r="D10" s="6">
        <f t="shared" si="6"/>
        <v>0</v>
      </c>
      <c r="E10" s="6">
        <f t="shared" si="6"/>
        <v>0</v>
      </c>
      <c r="F10" s="6">
        <f t="shared" si="6"/>
        <v>0</v>
      </c>
      <c r="I10" s="15">
        <f t="shared" si="4"/>
        <v>3.4100000000000006</v>
      </c>
    </row>
    <row r="12" spans="1:10" x14ac:dyDescent="0.25">
      <c r="A12" s="8">
        <f>B12/-$B$12</f>
        <v>-1</v>
      </c>
      <c r="B12" s="9">
        <f>B$9*$A7+B7</f>
        <v>0.98541922447590069</v>
      </c>
      <c r="C12" s="7">
        <f t="shared" ref="C12:F12" si="7">C$9*$A7+C7</f>
        <v>0</v>
      </c>
      <c r="D12" s="7">
        <f t="shared" si="7"/>
        <v>0</v>
      </c>
      <c r="E12" s="7">
        <f t="shared" si="7"/>
        <v>0.44785220895882988</v>
      </c>
      <c r="F12" s="7">
        <f t="shared" si="7"/>
        <v>2.8398875479074465E-2</v>
      </c>
    </row>
    <row r="13" spans="1:10" x14ac:dyDescent="0.25">
      <c r="A13" s="8">
        <f t="shared" ref="A13:A15" si="8">B13/-$B$12</f>
        <v>-6.6362907131647733E-2</v>
      </c>
      <c r="B13" s="6">
        <f t="shared" ref="B13:F13" si="9">B$9*$A8+B8</f>
        <v>6.5395284479634525E-2</v>
      </c>
      <c r="C13" s="6">
        <f t="shared" si="9"/>
        <v>0</v>
      </c>
      <c r="D13" s="6">
        <f t="shared" si="9"/>
        <v>0</v>
      </c>
      <c r="E13" s="6">
        <f t="shared" si="9"/>
        <v>-0.36374485235172027</v>
      </c>
      <c r="F13" s="6">
        <f t="shared" si="9"/>
        <v>-4.2590241706109117E-2</v>
      </c>
    </row>
    <row r="14" spans="1:10" x14ac:dyDescent="0.25">
      <c r="A14" s="8">
        <f t="shared" si="8"/>
        <v>0</v>
      </c>
      <c r="B14" s="6">
        <f t="shared" ref="B14:F14" si="10">B$9*$A9+B9</f>
        <v>0</v>
      </c>
      <c r="C14" s="6">
        <f t="shared" si="10"/>
        <v>0</v>
      </c>
      <c r="D14" s="6">
        <f t="shared" si="10"/>
        <v>0</v>
      </c>
      <c r="E14" s="6">
        <f t="shared" si="10"/>
        <v>0</v>
      </c>
      <c r="F14" s="6">
        <f t="shared" si="10"/>
        <v>0</v>
      </c>
    </row>
    <row r="15" spans="1:10" x14ac:dyDescent="0.25">
      <c r="A15" s="8">
        <f t="shared" si="8"/>
        <v>0</v>
      </c>
      <c r="B15" s="6">
        <f t="shared" ref="B15:F15" si="11">B$9*$A10+B10</f>
        <v>0</v>
      </c>
      <c r="C15" s="6">
        <f t="shared" si="11"/>
        <v>0</v>
      </c>
      <c r="D15" s="6">
        <f t="shared" si="11"/>
        <v>0</v>
      </c>
      <c r="E15" s="6">
        <f t="shared" si="11"/>
        <v>0</v>
      </c>
      <c r="F15" s="6">
        <f t="shared" si="11"/>
        <v>0</v>
      </c>
    </row>
    <row r="17" spans="2:6" x14ac:dyDescent="0.25">
      <c r="B17" s="6">
        <f>B$12*$A12+B12</f>
        <v>0</v>
      </c>
      <c r="C17" s="6">
        <f t="shared" ref="C17:F17" si="12">C$12*$A12+C12</f>
        <v>0</v>
      </c>
      <c r="D17" s="6">
        <f t="shared" si="12"/>
        <v>0</v>
      </c>
      <c r="E17" s="6">
        <f t="shared" si="12"/>
        <v>0</v>
      </c>
      <c r="F17" s="6">
        <f t="shared" si="12"/>
        <v>0</v>
      </c>
    </row>
    <row r="18" spans="2:6" x14ac:dyDescent="0.25">
      <c r="B18" s="7">
        <f t="shared" ref="B18:F18" si="13">B$12*$A13+B13</f>
        <v>0</v>
      </c>
      <c r="C18" s="7">
        <f t="shared" si="13"/>
        <v>0</v>
      </c>
      <c r="D18" s="7">
        <f t="shared" si="13"/>
        <v>0</v>
      </c>
      <c r="E18" s="7">
        <f t="shared" si="13"/>
        <v>-0.39346562690355841</v>
      </c>
      <c r="F18" s="7">
        <f t="shared" si="13"/>
        <v>-4.4474873642170162E-2</v>
      </c>
    </row>
    <row r="19" spans="2:6" x14ac:dyDescent="0.25">
      <c r="B19" s="6">
        <f t="shared" ref="B19:F19" si="14">B$12*$A14+B14</f>
        <v>0</v>
      </c>
      <c r="C19" s="6">
        <f t="shared" si="14"/>
        <v>0</v>
      </c>
      <c r="D19" s="6">
        <f t="shared" si="14"/>
        <v>0</v>
      </c>
      <c r="E19" s="6">
        <f t="shared" si="14"/>
        <v>0</v>
      </c>
      <c r="F19" s="6">
        <f t="shared" si="14"/>
        <v>0</v>
      </c>
    </row>
    <row r="20" spans="2:6" x14ac:dyDescent="0.25">
      <c r="B20" s="6">
        <f t="shared" ref="B20:F20" si="15">B$12*$A15+B15</f>
        <v>0</v>
      </c>
      <c r="C20" s="6">
        <f t="shared" si="15"/>
        <v>0</v>
      </c>
      <c r="D20" s="6">
        <f t="shared" si="15"/>
        <v>0</v>
      </c>
      <c r="E20" s="6">
        <f t="shared" si="15"/>
        <v>0</v>
      </c>
      <c r="F20" s="6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2023-05-11T05:39:18Z</dcterms:modified>
</cp:coreProperties>
</file>