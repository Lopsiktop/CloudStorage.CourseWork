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323C9679-0352-4DE2-B203-461BBCD86A7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2" l="1"/>
  <c r="A17" i="2"/>
  <c r="C92" i="2"/>
  <c r="C91" i="2"/>
  <c r="C90" i="2"/>
  <c r="G77" i="2"/>
  <c r="F77" i="2"/>
  <c r="E78" i="2"/>
  <c r="E79" i="2"/>
  <c r="E80" i="2"/>
  <c r="E81" i="2"/>
  <c r="F81" i="2" s="1"/>
  <c r="G81" i="2" s="1"/>
  <c r="E82" i="2"/>
  <c r="E83" i="2"/>
  <c r="E84" i="2"/>
  <c r="E85" i="2"/>
  <c r="F85" i="2" s="1"/>
  <c r="G85" i="2" s="1"/>
  <c r="E86" i="2"/>
  <c r="E87" i="2"/>
  <c r="F87" i="2" s="1"/>
  <c r="G87" i="2" s="1"/>
  <c r="E88" i="2"/>
  <c r="E77" i="2"/>
  <c r="D78" i="2"/>
  <c r="D79" i="2"/>
  <c r="D80" i="2"/>
  <c r="D81" i="2"/>
  <c r="D82" i="2"/>
  <c r="D83" i="2"/>
  <c r="D84" i="2"/>
  <c r="D85" i="2"/>
  <c r="D86" i="2"/>
  <c r="D87" i="2"/>
  <c r="D88" i="2"/>
  <c r="F88" i="2" s="1"/>
  <c r="G88" i="2" s="1"/>
  <c r="D77" i="2"/>
  <c r="F86" i="2"/>
  <c r="G86" i="2" s="1"/>
  <c r="F84" i="2"/>
  <c r="G84" i="2" s="1"/>
  <c r="F83" i="2"/>
  <c r="G83" i="2" s="1"/>
  <c r="F82" i="2"/>
  <c r="G82" i="2" s="1"/>
  <c r="F80" i="2"/>
  <c r="G80" i="2" s="1"/>
  <c r="F79" i="2"/>
  <c r="G79" i="2" s="1"/>
  <c r="F78" i="2"/>
  <c r="G78" i="2" s="1"/>
  <c r="C73" i="2"/>
  <c r="C72" i="2"/>
  <c r="C71" i="2"/>
  <c r="E58" i="2"/>
  <c r="F58" i="2" s="1"/>
  <c r="G58" i="2" s="1"/>
  <c r="D58" i="2"/>
  <c r="A2" i="2"/>
  <c r="E59" i="2"/>
  <c r="E60" i="2"/>
  <c r="E61" i="2"/>
  <c r="E62" i="2"/>
  <c r="E63" i="2"/>
  <c r="E64" i="2"/>
  <c r="E65" i="2"/>
  <c r="E66" i="2"/>
  <c r="E67" i="2"/>
  <c r="E68" i="2"/>
  <c r="E69" i="2"/>
  <c r="D61" i="2"/>
  <c r="F61" i="2" s="1"/>
  <c r="G61" i="2" s="1"/>
  <c r="D65" i="2"/>
  <c r="F65" i="2" s="1"/>
  <c r="G65" i="2" s="1"/>
  <c r="D69" i="2"/>
  <c r="F69" i="2" s="1"/>
  <c r="G69" i="2" s="1"/>
  <c r="A14" i="2"/>
  <c r="E45" i="2"/>
  <c r="F45" i="2" s="1"/>
  <c r="G45" i="2" s="1"/>
  <c r="E40" i="2"/>
  <c r="E41" i="2"/>
  <c r="E42" i="2"/>
  <c r="E43" i="2"/>
  <c r="E44" i="2"/>
  <c r="E46" i="2"/>
  <c r="E47" i="2"/>
  <c r="E48" i="2"/>
  <c r="E49" i="2"/>
  <c r="E50" i="2"/>
  <c r="E39" i="2"/>
  <c r="D40" i="2"/>
  <c r="D41" i="2"/>
  <c r="F41" i="2" s="1"/>
  <c r="G41" i="2" s="1"/>
  <c r="D44" i="2"/>
  <c r="D45" i="2"/>
  <c r="D48" i="2"/>
  <c r="D49" i="2"/>
  <c r="F48" i="2"/>
  <c r="G48" i="2" s="1"/>
  <c r="F40" i="2"/>
  <c r="G40" i="2" s="1"/>
  <c r="E9" i="2"/>
  <c r="E8" i="2"/>
  <c r="D62" i="2" s="1"/>
  <c r="F62" i="2" s="1"/>
  <c r="G62" i="2" s="1"/>
  <c r="E7" i="2"/>
  <c r="D42" i="2" s="1"/>
  <c r="F42" i="2" s="1"/>
  <c r="G42" i="2" s="1"/>
  <c r="E6" i="2"/>
  <c r="D20" i="2" s="1"/>
  <c r="F20" i="2" s="1"/>
  <c r="G20" i="2" s="1"/>
  <c r="A6" i="2"/>
  <c r="E20" i="2"/>
  <c r="E26" i="2"/>
  <c r="E27" i="2"/>
  <c r="E28" i="2"/>
  <c r="E29" i="2"/>
  <c r="E30" i="2"/>
  <c r="E31" i="2"/>
  <c r="E21" i="2"/>
  <c r="E22" i="2"/>
  <c r="E23" i="2"/>
  <c r="E24" i="2"/>
  <c r="E25" i="2"/>
  <c r="D21" i="2"/>
  <c r="F21" i="2" s="1"/>
  <c r="G21" i="2" s="1"/>
  <c r="D29" i="2"/>
  <c r="F29" i="2" s="1"/>
  <c r="G29" i="2" s="1"/>
  <c r="D24" i="2"/>
  <c r="F24" i="2" s="1"/>
  <c r="G24" i="2" s="1"/>
  <c r="D11" i="1"/>
  <c r="E5" i="1"/>
  <c r="E5" i="2"/>
  <c r="B6" i="1"/>
  <c r="A6" i="1"/>
  <c r="C18" i="1"/>
  <c r="G12" i="1"/>
  <c r="G11" i="1"/>
  <c r="F12" i="1"/>
  <c r="F14" i="1"/>
  <c r="G14" i="1" s="1"/>
  <c r="F16" i="1"/>
  <c r="G16" i="1" s="1"/>
  <c r="F11" i="1"/>
  <c r="E12" i="1"/>
  <c r="E11" i="1"/>
  <c r="E13" i="1"/>
  <c r="F13" i="1" s="1"/>
  <c r="G13" i="1" s="1"/>
  <c r="C19" i="1" s="1"/>
  <c r="C20" i="1" s="1"/>
  <c r="E14" i="1"/>
  <c r="E15" i="1"/>
  <c r="F15" i="1" s="1"/>
  <c r="G15" i="1" s="1"/>
  <c r="E16" i="1"/>
  <c r="D12" i="1"/>
  <c r="D13" i="1"/>
  <c r="D14" i="1"/>
  <c r="D15" i="1"/>
  <c r="D16" i="1"/>
  <c r="E4" i="1"/>
  <c r="D23" i="2" l="1"/>
  <c r="F23" i="2" s="1"/>
  <c r="G23" i="2" s="1"/>
  <c r="D27" i="2"/>
  <c r="F27" i="2" s="1"/>
  <c r="G27" i="2" s="1"/>
  <c r="D22" i="2"/>
  <c r="F22" i="2" s="1"/>
  <c r="G22" i="2" s="1"/>
  <c r="D39" i="2"/>
  <c r="D47" i="2"/>
  <c r="D43" i="2"/>
  <c r="D68" i="2"/>
  <c r="F68" i="2" s="1"/>
  <c r="G68" i="2" s="1"/>
  <c r="D64" i="2"/>
  <c r="F64" i="2" s="1"/>
  <c r="G64" i="2" s="1"/>
  <c r="D60" i="2"/>
  <c r="F60" i="2" s="1"/>
  <c r="G60" i="2" s="1"/>
  <c r="D31" i="2"/>
  <c r="F31" i="2" s="1"/>
  <c r="G31" i="2" s="1"/>
  <c r="D26" i="2"/>
  <c r="F26" i="2" s="1"/>
  <c r="G26" i="2" s="1"/>
  <c r="D28" i="2"/>
  <c r="F28" i="2" s="1"/>
  <c r="G28" i="2" s="1"/>
  <c r="C34" i="2" s="1"/>
  <c r="D50" i="2"/>
  <c r="F50" i="2" s="1"/>
  <c r="G50" i="2" s="1"/>
  <c r="D46" i="2"/>
  <c r="F46" i="2" s="1"/>
  <c r="G46" i="2" s="1"/>
  <c r="D67" i="2"/>
  <c r="F67" i="2" s="1"/>
  <c r="G67" i="2" s="1"/>
  <c r="D63" i="2"/>
  <c r="F63" i="2" s="1"/>
  <c r="G63" i="2" s="1"/>
  <c r="D59" i="2"/>
  <c r="F59" i="2" s="1"/>
  <c r="G59" i="2" s="1"/>
  <c r="F43" i="2"/>
  <c r="G43" i="2" s="1"/>
  <c r="D25" i="2"/>
  <c r="F25" i="2" s="1"/>
  <c r="G25" i="2" s="1"/>
  <c r="D30" i="2"/>
  <c r="F30" i="2" s="1"/>
  <c r="G30" i="2" s="1"/>
  <c r="F49" i="2"/>
  <c r="G49" i="2" s="1"/>
  <c r="F44" i="2"/>
  <c r="G44" i="2" s="1"/>
  <c r="D66" i="2"/>
  <c r="F66" i="2" s="1"/>
  <c r="G66" i="2" s="1"/>
  <c r="F47" i="2"/>
  <c r="G47" i="2" s="1"/>
  <c r="B2" i="2" l="1"/>
  <c r="C52" i="2"/>
  <c r="F39" i="2"/>
  <c r="G39" i="2" s="1"/>
  <c r="C53" i="2" s="1"/>
  <c r="C54" i="2" s="1"/>
  <c r="B14" i="2" s="1"/>
  <c r="C33" i="2"/>
  <c r="C35" i="2" s="1"/>
  <c r="B6" i="2" s="1"/>
</calcChain>
</file>

<file path=xl/sharedStrings.xml><?xml version="1.0" encoding="utf-8"?>
<sst xmlns="http://schemas.openxmlformats.org/spreadsheetml/2006/main" count="69" uniqueCount="23">
  <si>
    <t>x</t>
  </si>
  <si>
    <t>y</t>
  </si>
  <si>
    <t>x1</t>
  </si>
  <si>
    <t>x2</t>
  </si>
  <si>
    <t>x3</t>
  </si>
  <si>
    <t>x4</t>
  </si>
  <si>
    <t>h</t>
  </si>
  <si>
    <t>t</t>
  </si>
  <si>
    <t>i</t>
  </si>
  <si>
    <t>xi</t>
  </si>
  <si>
    <t>yi</t>
  </si>
  <si>
    <t>t-i</t>
  </si>
  <si>
    <t>Ci</t>
  </si>
  <si>
    <t>(t-i)*Ci</t>
  </si>
  <si>
    <t>yi/(t-i)*Ci</t>
  </si>
  <si>
    <t>произведение</t>
  </si>
  <si>
    <t>сумма</t>
  </si>
  <si>
    <t>ответ</t>
  </si>
  <si>
    <t>h1</t>
  </si>
  <si>
    <t>t1</t>
  </si>
  <si>
    <t>t2</t>
  </si>
  <si>
    <t>t4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</si>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</sst>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9" formatCode="0.0000000"/>
    <numFmt numFmtId="170" formatCode="0.0000000000000000000000"/>
    <numFmt numFmtId="173" formatCode="0.000000000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NumberFormat="1" applyBorder="1"/>
    <xf numFmtId="2" fontId="0" fillId="0" borderId="1" xfId="0" applyNumberFormat="1" applyBorder="1"/>
    <xf numFmtId="169" fontId="0" fillId="0" borderId="1" xfId="0" applyNumberFormat="1" applyBorder="1"/>
    <xf numFmtId="169" fontId="0" fillId="0" borderId="0" xfId="0" applyNumberFormat="1"/>
    <xf numFmtId="164" fontId="1" fillId="2" borderId="0" xfId="1" applyNumberFormat="1"/>
    <xf numFmtId="0" fontId="1" fillId="2" borderId="0" xfId="1"/>
    <xf numFmtId="165" fontId="0" fillId="0" borderId="1" xfId="0" applyNumberFormat="1" applyBorder="1"/>
    <xf numFmtId="170" fontId="0" fillId="0" borderId="1" xfId="0" applyNumberFormat="1" applyBorder="1"/>
    <xf numFmtId="165" fontId="1" fillId="2" borderId="0" xfId="1" applyNumberFormat="1"/>
    <xf numFmtId="0" fontId="0" fillId="0" borderId="2" xfId="0" applyFill="1" applyBorder="1"/>
    <xf numFmtId="173" fontId="0" fillId="0" borderId="0" xfId="0" applyNumberFormat="1"/>
    <xf numFmtId="2" fontId="1" fillId="2" borderId="0" xfId="1" applyNumberFormat="1"/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="175" zoomScaleNormal="175" workbookViewId="0">
      <selection activeCell="A18" sqref="A18:C20"/>
    </sheetView>
  </sheetViews>
  <sheetFormatPr defaultRowHeight="15" x14ac:dyDescent="0.25"/>
  <cols>
    <col min="3" max="3" width="10" bestFit="1" customWidth="1"/>
    <col min="5" max="5" width="8.7109375" customWidth="1"/>
    <col min="7" max="7" width="11.85546875" customWidth="1"/>
  </cols>
  <sheetData>
    <row r="1" spans="1:7" x14ac:dyDescent="0.25">
      <c r="A1" s="4" t="s">
        <v>0</v>
      </c>
      <c r="B1" s="4" t="s">
        <v>1</v>
      </c>
    </row>
    <row r="2" spans="1:7" x14ac:dyDescent="0.25">
      <c r="A2" s="2">
        <v>1.375</v>
      </c>
      <c r="B2">
        <v>5.0419200000000002</v>
      </c>
      <c r="C2">
        <v>1.3934</v>
      </c>
    </row>
    <row r="3" spans="1:7" x14ac:dyDescent="0.25">
      <c r="A3" s="2">
        <v>1.38</v>
      </c>
      <c r="B3">
        <v>5.1774399999999998</v>
      </c>
    </row>
    <row r="4" spans="1:7" x14ac:dyDescent="0.25">
      <c r="A4" s="2">
        <v>1.385</v>
      </c>
      <c r="B4">
        <v>5.3201599999999996</v>
      </c>
      <c r="D4" t="s">
        <v>6</v>
      </c>
      <c r="E4" s="2">
        <f>A3-A2</f>
        <v>4.9999999999998934E-3</v>
      </c>
    </row>
    <row r="5" spans="1:7" x14ac:dyDescent="0.25">
      <c r="A5" s="2">
        <v>1.39</v>
      </c>
      <c r="B5">
        <v>5.4706900000000003</v>
      </c>
      <c r="D5" t="s">
        <v>7</v>
      </c>
      <c r="E5">
        <f>(C2-A2)/E4</f>
        <v>3.680000000000073</v>
      </c>
    </row>
    <row r="6" spans="1:7" x14ac:dyDescent="0.25">
      <c r="A6" s="13">
        <f>C2</f>
        <v>1.3934</v>
      </c>
      <c r="B6" s="14">
        <f>C20</f>
        <v>5.5778397132406896</v>
      </c>
    </row>
    <row r="7" spans="1:7" x14ac:dyDescent="0.25">
      <c r="A7" s="2">
        <v>1.395</v>
      </c>
      <c r="B7">
        <v>5.6296799999999996</v>
      </c>
    </row>
    <row r="8" spans="1:7" x14ac:dyDescent="0.25">
      <c r="A8" s="2">
        <v>1.4</v>
      </c>
      <c r="B8">
        <v>5.7978800000000001</v>
      </c>
    </row>
    <row r="10" spans="1:7" x14ac:dyDescent="0.25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</row>
    <row r="11" spans="1:7" x14ac:dyDescent="0.25">
      <c r="A11" s="7">
        <v>0</v>
      </c>
      <c r="B11" s="8">
        <v>1.375</v>
      </c>
      <c r="C11" s="6">
        <v>5.0419200000000002</v>
      </c>
      <c r="D11" s="7">
        <f>$E$5-A11</f>
        <v>3.680000000000073</v>
      </c>
      <c r="E11" s="9">
        <f>(-1)^($A$16-A11)*FACT(A11)*FACT($A$16-A11)</f>
        <v>-120</v>
      </c>
      <c r="F11" s="10">
        <f>D11*E11</f>
        <v>-441.60000000000878</v>
      </c>
      <c r="G11" s="11">
        <f>C11/F11</f>
        <v>-1.14173913043476E-2</v>
      </c>
    </row>
    <row r="12" spans="1:7" x14ac:dyDescent="0.25">
      <c r="A12" s="7">
        <v>1</v>
      </c>
      <c r="B12" s="8">
        <v>1.38</v>
      </c>
      <c r="C12" s="6">
        <v>5.1774399999999998</v>
      </c>
      <c r="D12" s="9">
        <f t="shared" ref="D12:D16" si="0">$E$5-A12</f>
        <v>2.680000000000073</v>
      </c>
      <c r="E12" s="9">
        <f>(-1)^($A$16-A12)*FACT(A12)*FACT($A$16-A12)</f>
        <v>24</v>
      </c>
      <c r="F12" s="10">
        <f t="shared" ref="F12:F16" si="1">D12*E12</f>
        <v>64.320000000001755</v>
      </c>
      <c r="G12" s="11">
        <f t="shared" ref="G12:G16" si="2">C12/F12</f>
        <v>8.0495024875619686E-2</v>
      </c>
    </row>
    <row r="13" spans="1:7" x14ac:dyDescent="0.25">
      <c r="A13" s="7">
        <v>2</v>
      </c>
      <c r="B13" s="8">
        <v>1.385</v>
      </c>
      <c r="C13" s="6">
        <v>5.3201599999999996</v>
      </c>
      <c r="D13" s="9">
        <f t="shared" si="0"/>
        <v>1.680000000000073</v>
      </c>
      <c r="E13" s="9">
        <f>(-1)^($A$16-A13)*FACT(A13)*FACT($A$16-A13)</f>
        <v>-12</v>
      </c>
      <c r="F13" s="10">
        <f t="shared" si="1"/>
        <v>-20.160000000000878</v>
      </c>
      <c r="G13" s="11">
        <f t="shared" si="2"/>
        <v>-0.26389682539681386</v>
      </c>
    </row>
    <row r="14" spans="1:7" x14ac:dyDescent="0.25">
      <c r="A14" s="7">
        <v>3</v>
      </c>
      <c r="B14" s="8">
        <v>1.39</v>
      </c>
      <c r="C14" s="6">
        <v>5.4706900000000003</v>
      </c>
      <c r="D14" s="9">
        <f t="shared" si="0"/>
        <v>0.68000000000007299</v>
      </c>
      <c r="E14" s="9">
        <f>(-1)^($A$16-A14)*FACT(A14)*FACT($A$16-A14)</f>
        <v>12</v>
      </c>
      <c r="F14" s="10">
        <f t="shared" si="1"/>
        <v>8.1600000000008759</v>
      </c>
      <c r="G14" s="11">
        <f t="shared" si="2"/>
        <v>0.67042769607835939</v>
      </c>
    </row>
    <row r="15" spans="1:7" x14ac:dyDescent="0.25">
      <c r="A15" s="7">
        <v>4</v>
      </c>
      <c r="B15" s="8">
        <v>1.395</v>
      </c>
      <c r="C15" s="6">
        <v>5.6296799999999996</v>
      </c>
      <c r="D15" s="9">
        <f t="shared" si="0"/>
        <v>-0.31999999999992701</v>
      </c>
      <c r="E15" s="9">
        <f>(-1)^($A$16-A15)*FACT(A15)*FACT($A$16-A15)</f>
        <v>-24</v>
      </c>
      <c r="F15" s="10">
        <f t="shared" si="1"/>
        <v>7.6799999999982482</v>
      </c>
      <c r="G15" s="11">
        <f t="shared" si="2"/>
        <v>0.73303125000016711</v>
      </c>
    </row>
    <row r="16" spans="1:7" x14ac:dyDescent="0.25">
      <c r="A16" s="7">
        <v>5</v>
      </c>
      <c r="B16" s="8">
        <v>1.4</v>
      </c>
      <c r="C16" s="6">
        <v>5.7978800000000001</v>
      </c>
      <c r="D16" s="9">
        <f t="shared" si="0"/>
        <v>-1.319999999999927</v>
      </c>
      <c r="E16" s="9">
        <f>(-1)^($A$16-A16)*FACT(A16)*FACT($A$16-A16)</f>
        <v>120</v>
      </c>
      <c r="F16" s="10">
        <f t="shared" si="1"/>
        <v>-158.39999999999125</v>
      </c>
      <c r="G16" s="11">
        <f t="shared" si="2"/>
        <v>-3.6602777777779802E-2</v>
      </c>
    </row>
    <row r="17" spans="1:3" x14ac:dyDescent="0.25">
      <c r="A17" s="5"/>
    </row>
    <row r="18" spans="1:3" x14ac:dyDescent="0.25">
      <c r="A18" t="s">
        <v>15</v>
      </c>
      <c r="C18">
        <f>PRODUCT(D11:D16)</f>
        <v>4.7590987530235926</v>
      </c>
    </row>
    <row r="19" spans="1:3" x14ac:dyDescent="0.25">
      <c r="A19" t="s">
        <v>16</v>
      </c>
      <c r="C19" s="12">
        <f>SUM(G11:G16)</f>
        <v>1.172036976475205</v>
      </c>
    </row>
    <row r="20" spans="1:3" x14ac:dyDescent="0.25">
      <c r="A20" t="s">
        <v>17</v>
      </c>
      <c r="C20">
        <f>C19*C18</f>
        <v>5.5778397132406896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6C9A-CA63-4C6F-95F0-4BE64C68F1D3}">
  <dimension ref="A1:H92"/>
  <sheetViews>
    <sheetView tabSelected="1" zoomScale="160" zoomScaleNormal="160" workbookViewId="0">
      <selection activeCell="C16" sqref="C16"/>
    </sheetView>
  </sheetViews>
  <sheetFormatPr defaultRowHeight="15" x14ac:dyDescent="0.25"/>
  <cols>
    <col min="3" max="3" width="13.42578125" customWidth="1"/>
    <col min="5" max="5" width="10.85546875" customWidth="1"/>
    <col min="6" max="6" width="11.7109375" customWidth="1"/>
    <col min="7" max="7" width="27.28515625" customWidth="1"/>
  </cols>
  <sheetData>
    <row r="1" spans="1:7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4">
        <f>F2</f>
        <v>0.14149999999999999</v>
      </c>
      <c r="B2" s="17">
        <f>C73</f>
        <v>4.1241562682777957</v>
      </c>
      <c r="D2">
        <v>0.17319999999999999</v>
      </c>
      <c r="E2">
        <v>0.24440000000000001</v>
      </c>
      <c r="F2">
        <v>0.14149999999999999</v>
      </c>
      <c r="G2">
        <v>0.27</v>
      </c>
    </row>
    <row r="3" spans="1:7" x14ac:dyDescent="0.25">
      <c r="A3" s="1">
        <v>0.15</v>
      </c>
      <c r="B3" s="3">
        <v>4.4817</v>
      </c>
    </row>
    <row r="4" spans="1:7" x14ac:dyDescent="0.25">
      <c r="A4" s="1">
        <v>0.16</v>
      </c>
      <c r="B4" s="3">
        <v>4.9530000000000003</v>
      </c>
    </row>
    <row r="5" spans="1:7" x14ac:dyDescent="0.25">
      <c r="A5" s="1">
        <v>0.17</v>
      </c>
      <c r="B5" s="3">
        <v>5.4739000000000004</v>
      </c>
      <c r="D5" t="s">
        <v>18</v>
      </c>
      <c r="E5" s="1">
        <f>A4-A3</f>
        <v>1.0000000000000009E-2</v>
      </c>
    </row>
    <row r="6" spans="1:7" x14ac:dyDescent="0.25">
      <c r="A6" s="17">
        <f>D2</f>
        <v>0.17319999999999999</v>
      </c>
      <c r="B6" s="17">
        <f>C35</f>
        <v>5.6518876714553574</v>
      </c>
      <c r="D6" t="s">
        <v>19</v>
      </c>
      <c r="E6">
        <f>(D2-A3)/E5</f>
        <v>2.3199999999999976</v>
      </c>
    </row>
    <row r="7" spans="1:7" x14ac:dyDescent="0.25">
      <c r="A7" s="1">
        <v>0.18</v>
      </c>
      <c r="B7" s="3">
        <v>6.0495999999999999</v>
      </c>
      <c r="D7" t="s">
        <v>20</v>
      </c>
      <c r="E7">
        <f>(E2-A3)/E5</f>
        <v>9.4399999999999924</v>
      </c>
    </row>
    <row r="8" spans="1:7" x14ac:dyDescent="0.25">
      <c r="A8" s="1">
        <v>0.19</v>
      </c>
      <c r="B8" s="3">
        <v>6.6859000000000002</v>
      </c>
      <c r="D8" t="s">
        <v>22</v>
      </c>
      <c r="E8">
        <f>(F2-A3)/E5</f>
        <v>-0.85</v>
      </c>
    </row>
    <row r="9" spans="1:7" x14ac:dyDescent="0.25">
      <c r="A9" s="1">
        <v>0.2</v>
      </c>
      <c r="B9" s="3">
        <v>7.3891</v>
      </c>
      <c r="D9" t="s">
        <v>21</v>
      </c>
      <c r="E9" s="5">
        <f>(G2-A3)/E5</f>
        <v>11.999999999999991</v>
      </c>
    </row>
    <row r="10" spans="1:7" x14ac:dyDescent="0.25">
      <c r="A10" s="1">
        <v>0.21</v>
      </c>
      <c r="B10" s="3">
        <v>8.1661999999999999</v>
      </c>
    </row>
    <row r="11" spans="1:7" x14ac:dyDescent="0.25">
      <c r="A11" s="1">
        <v>0.22</v>
      </c>
      <c r="B11" s="3">
        <v>9.0250000000000004</v>
      </c>
    </row>
    <row r="12" spans="1:7" x14ac:dyDescent="0.25">
      <c r="A12" s="1">
        <v>0.23</v>
      </c>
      <c r="B12" s="3">
        <v>9.9741999999999997</v>
      </c>
    </row>
    <row r="13" spans="1:7" x14ac:dyDescent="0.25">
      <c r="A13" s="1">
        <v>0.24</v>
      </c>
      <c r="B13" s="3">
        <v>11.023199999999999</v>
      </c>
    </row>
    <row r="14" spans="1:7" x14ac:dyDescent="0.25">
      <c r="A14" s="17">
        <f>E2</f>
        <v>0.24440000000000001</v>
      </c>
      <c r="B14" s="17">
        <f>C54</f>
        <v>11.519009146915101</v>
      </c>
    </row>
    <row r="15" spans="1:7" x14ac:dyDescent="0.25">
      <c r="A15" s="1">
        <v>0.25</v>
      </c>
      <c r="B15" s="3">
        <v>12.182499999999999</v>
      </c>
    </row>
    <row r="16" spans="1:7" x14ac:dyDescent="0.25">
      <c r="A16" s="1">
        <v>0.26</v>
      </c>
      <c r="B16" s="3">
        <v>13.463699999999999</v>
      </c>
    </row>
    <row r="17" spans="1:8" x14ac:dyDescent="0.25">
      <c r="A17" s="20">
        <f>G2</f>
        <v>0.27</v>
      </c>
      <c r="B17" s="17">
        <f>C92</f>
        <v>14.861200000000572</v>
      </c>
    </row>
    <row r="19" spans="1:8" x14ac:dyDescent="0.25">
      <c r="A19" s="6" t="s">
        <v>8</v>
      </c>
      <c r="B19" s="6" t="s">
        <v>9</v>
      </c>
      <c r="C19" s="6" t="s">
        <v>10</v>
      </c>
      <c r="D19" s="6" t="s">
        <v>11</v>
      </c>
      <c r="E19" s="6" t="s">
        <v>12</v>
      </c>
      <c r="F19" s="6" t="s">
        <v>13</v>
      </c>
      <c r="G19" s="6" t="s">
        <v>14</v>
      </c>
      <c r="H19" s="18" t="s">
        <v>2</v>
      </c>
    </row>
    <row r="20" spans="1:8" x14ac:dyDescent="0.25">
      <c r="A20" s="7">
        <v>0</v>
      </c>
      <c r="B20" s="10">
        <v>0.15</v>
      </c>
      <c r="C20" s="15">
        <v>4.4817</v>
      </c>
      <c r="D20" s="9">
        <f>$E$6-A20</f>
        <v>2.3199999999999976</v>
      </c>
      <c r="E20" s="9">
        <f>(-1)^($A$31-A20)*FACT(A20)*FACT($A$31-A20)</f>
        <v>-39916800</v>
      </c>
      <c r="F20" s="9">
        <f>D20*E20</f>
        <v>-92606975.999999911</v>
      </c>
      <c r="G20" s="16">
        <f>C20/F20</f>
        <v>-4.8394842306480284E-8</v>
      </c>
    </row>
    <row r="21" spans="1:8" x14ac:dyDescent="0.25">
      <c r="A21" s="7">
        <v>1</v>
      </c>
      <c r="B21" s="10">
        <v>0.16</v>
      </c>
      <c r="C21" s="15">
        <v>4.9530000000000003</v>
      </c>
      <c r="D21" s="9">
        <f>$E$6-A21</f>
        <v>1.3199999999999976</v>
      </c>
      <c r="E21" s="9">
        <f t="shared" ref="E21:E31" si="0">(-1)^($A$31-A21)*FACT(A21)*FACT($A$31-A21)</f>
        <v>3628800</v>
      </c>
      <c r="F21" s="9">
        <f t="shared" ref="F21:F31" si="1">D21*E21</f>
        <v>4790015.9999999916</v>
      </c>
      <c r="G21" s="16">
        <f t="shared" ref="G21:G31" si="2">C21/F21</f>
        <v>1.0340257736091088E-6</v>
      </c>
    </row>
    <row r="22" spans="1:8" x14ac:dyDescent="0.25">
      <c r="A22" s="7">
        <v>2</v>
      </c>
      <c r="B22" s="10">
        <v>0.17</v>
      </c>
      <c r="C22" s="15">
        <v>5.4739000000000004</v>
      </c>
      <c r="D22" s="9">
        <f>$E$6-A22</f>
        <v>0.31999999999999762</v>
      </c>
      <c r="E22" s="9">
        <f t="shared" si="0"/>
        <v>-725760</v>
      </c>
      <c r="F22" s="9">
        <f t="shared" si="1"/>
        <v>-232243.19999999827</v>
      </c>
      <c r="G22" s="16">
        <f t="shared" si="2"/>
        <v>-2.3569689015652734E-5</v>
      </c>
    </row>
    <row r="23" spans="1:8" x14ac:dyDescent="0.25">
      <c r="A23" s="7">
        <v>3</v>
      </c>
      <c r="B23" s="10">
        <v>0.18</v>
      </c>
      <c r="C23" s="15">
        <v>6.0495999999999999</v>
      </c>
      <c r="D23" s="9">
        <f>$E$6-A23</f>
        <v>-0.68000000000000238</v>
      </c>
      <c r="E23" s="9">
        <f t="shared" si="0"/>
        <v>241920</v>
      </c>
      <c r="F23" s="9">
        <f t="shared" si="1"/>
        <v>-164505.60000000059</v>
      </c>
      <c r="G23" s="16">
        <f t="shared" si="2"/>
        <v>-3.6774431995020096E-5</v>
      </c>
    </row>
    <row r="24" spans="1:8" x14ac:dyDescent="0.25">
      <c r="A24" s="7">
        <v>4</v>
      </c>
      <c r="B24" s="10">
        <v>0.19</v>
      </c>
      <c r="C24" s="15">
        <v>6.6859000000000002</v>
      </c>
      <c r="D24" s="9">
        <f>$E$6-A24</f>
        <v>-1.6800000000000024</v>
      </c>
      <c r="E24" s="9">
        <f t="shared" si="0"/>
        <v>-120960</v>
      </c>
      <c r="F24" s="9">
        <f t="shared" si="1"/>
        <v>203212.80000000028</v>
      </c>
      <c r="G24" s="16">
        <f t="shared" si="2"/>
        <v>3.2900978678508399E-5</v>
      </c>
    </row>
    <row r="25" spans="1:8" x14ac:dyDescent="0.25">
      <c r="A25" s="7">
        <v>5</v>
      </c>
      <c r="B25" s="10">
        <v>0.2</v>
      </c>
      <c r="C25" s="15">
        <v>7.3891</v>
      </c>
      <c r="D25" s="9">
        <f>$E$6-A25</f>
        <v>-2.6800000000000024</v>
      </c>
      <c r="E25" s="9">
        <f t="shared" si="0"/>
        <v>86400</v>
      </c>
      <c r="F25" s="9">
        <f t="shared" si="1"/>
        <v>-231552.0000000002</v>
      </c>
      <c r="G25" s="16">
        <f t="shared" si="2"/>
        <v>-3.1911190574903236E-5</v>
      </c>
    </row>
    <row r="26" spans="1:8" x14ac:dyDescent="0.25">
      <c r="A26" s="7">
        <v>6</v>
      </c>
      <c r="B26" s="10">
        <v>0.21</v>
      </c>
      <c r="C26" s="15">
        <v>8.1661999999999999</v>
      </c>
      <c r="D26" s="9">
        <f>$E$6-A26</f>
        <v>-3.6800000000000024</v>
      </c>
      <c r="E26" s="9">
        <f>(-1)^($A$31-A26)*FACT(A26)*FACT($A$31-A26)</f>
        <v>-86400</v>
      </c>
      <c r="F26" s="9">
        <f t="shared" si="1"/>
        <v>317952.00000000023</v>
      </c>
      <c r="G26" s="16">
        <f t="shared" si="2"/>
        <v>2.5683751006441203E-5</v>
      </c>
    </row>
    <row r="27" spans="1:8" x14ac:dyDescent="0.25">
      <c r="A27" s="7">
        <v>7</v>
      </c>
      <c r="B27" s="10">
        <v>0.22</v>
      </c>
      <c r="C27" s="15">
        <v>9.0250000000000004</v>
      </c>
      <c r="D27" s="9">
        <f>$E$6-A27</f>
        <v>-4.6800000000000024</v>
      </c>
      <c r="E27" s="9">
        <f t="shared" si="0"/>
        <v>120960</v>
      </c>
      <c r="F27" s="9">
        <f t="shared" si="1"/>
        <v>-566092.80000000028</v>
      </c>
      <c r="G27" s="16">
        <f t="shared" si="2"/>
        <v>-1.5942615769004651E-5</v>
      </c>
    </row>
    <row r="28" spans="1:8" x14ac:dyDescent="0.25">
      <c r="A28" s="7">
        <v>8</v>
      </c>
      <c r="B28" s="10">
        <v>0.23</v>
      </c>
      <c r="C28" s="15">
        <v>9.9741999999999997</v>
      </c>
      <c r="D28" s="9">
        <f>$E$6-A28</f>
        <v>-5.6800000000000024</v>
      </c>
      <c r="E28" s="9">
        <f t="shared" si="0"/>
        <v>-241920</v>
      </c>
      <c r="F28" s="9">
        <f t="shared" si="1"/>
        <v>1374105.6000000006</v>
      </c>
      <c r="G28" s="16">
        <f t="shared" si="2"/>
        <v>7.2586852131306329E-6</v>
      </c>
    </row>
    <row r="29" spans="1:8" x14ac:dyDescent="0.25">
      <c r="A29" s="7">
        <v>9</v>
      </c>
      <c r="B29" s="10">
        <v>0.24</v>
      </c>
      <c r="C29" s="15">
        <v>11.023199999999999</v>
      </c>
      <c r="D29" s="9">
        <f>$E$6-A29</f>
        <v>-6.6800000000000024</v>
      </c>
      <c r="E29" s="9">
        <f t="shared" si="0"/>
        <v>725760</v>
      </c>
      <c r="F29" s="9">
        <f t="shared" si="1"/>
        <v>-4848076.8000000017</v>
      </c>
      <c r="G29" s="16">
        <f t="shared" si="2"/>
        <v>-2.2737263568101881E-6</v>
      </c>
    </row>
    <row r="30" spans="1:8" x14ac:dyDescent="0.25">
      <c r="A30" s="7">
        <v>10</v>
      </c>
      <c r="B30" s="10">
        <v>0.25</v>
      </c>
      <c r="C30" s="15">
        <v>12.182499999999999</v>
      </c>
      <c r="D30" s="9">
        <f>$E$6-A30</f>
        <v>-7.6800000000000024</v>
      </c>
      <c r="E30" s="9">
        <f t="shared" si="0"/>
        <v>-3628800</v>
      </c>
      <c r="F30" s="9">
        <f t="shared" si="1"/>
        <v>27869184.000000007</v>
      </c>
      <c r="G30" s="16">
        <f t="shared" si="2"/>
        <v>4.3713156438308331E-7</v>
      </c>
    </row>
    <row r="31" spans="1:8" x14ac:dyDescent="0.25">
      <c r="A31" s="7">
        <v>11</v>
      </c>
      <c r="B31" s="10">
        <v>0.26</v>
      </c>
      <c r="C31" s="15">
        <v>13.463699999999999</v>
      </c>
      <c r="D31" s="9">
        <f>$E$6-A31</f>
        <v>-8.6800000000000033</v>
      </c>
      <c r="E31" s="9">
        <f t="shared" si="0"/>
        <v>39916800</v>
      </c>
      <c r="F31" s="9">
        <f t="shared" si="1"/>
        <v>-346477824.00000012</v>
      </c>
      <c r="G31" s="16">
        <f t="shared" si="2"/>
        <v>-3.8858764017174137E-8</v>
      </c>
    </row>
    <row r="33" spans="1:8" x14ac:dyDescent="0.25">
      <c r="A33" t="s">
        <v>15</v>
      </c>
      <c r="C33">
        <f>PRODUCT(D20:D31)</f>
        <v>-130696.6024748677</v>
      </c>
    </row>
    <row r="34" spans="1:8" x14ac:dyDescent="0.25">
      <c r="A34" t="s">
        <v>16</v>
      </c>
      <c r="C34" s="12">
        <f>SUM(G20:G31)</f>
        <v>-4.3244335081642136E-5</v>
      </c>
    </row>
    <row r="35" spans="1:8" x14ac:dyDescent="0.25">
      <c r="A35" t="s">
        <v>17</v>
      </c>
      <c r="C35">
        <f>C34*C33</f>
        <v>5.6518876714553574</v>
      </c>
    </row>
    <row r="38" spans="1:8" x14ac:dyDescent="0.25">
      <c r="A38" s="6" t="s">
        <v>8</v>
      </c>
      <c r="B38" s="6" t="s">
        <v>9</v>
      </c>
      <c r="C38" s="6" t="s">
        <v>10</v>
      </c>
      <c r="D38" s="6" t="s">
        <v>11</v>
      </c>
      <c r="E38" s="6" t="s">
        <v>12</v>
      </c>
      <c r="F38" s="6" t="s">
        <v>13</v>
      </c>
      <c r="G38" s="6" t="s">
        <v>14</v>
      </c>
      <c r="H38" s="18" t="s">
        <v>3</v>
      </c>
    </row>
    <row r="39" spans="1:8" x14ac:dyDescent="0.25">
      <c r="A39" s="7">
        <v>0</v>
      </c>
      <c r="B39" s="10">
        <v>0.15</v>
      </c>
      <c r="C39" s="15">
        <v>4.4817</v>
      </c>
      <c r="D39" s="9">
        <f>$E$7-A39</f>
        <v>9.4399999999999924</v>
      </c>
      <c r="E39" s="9">
        <f>(-1)^($A$50-A39)*FACT(A39)*FACT($A$50-A39)</f>
        <v>-39916800</v>
      </c>
      <c r="F39" s="9">
        <f>D39*E39</f>
        <v>-376814591.9999997</v>
      </c>
      <c r="G39" s="16">
        <f>C39/F39</f>
        <v>-1.1893647685490915E-8</v>
      </c>
    </row>
    <row r="40" spans="1:8" x14ac:dyDescent="0.25">
      <c r="A40" s="7">
        <v>1</v>
      </c>
      <c r="B40" s="10">
        <v>0.16</v>
      </c>
      <c r="C40" s="15">
        <v>4.9530000000000003</v>
      </c>
      <c r="D40" s="9">
        <f t="shared" ref="D40:D50" si="3">$E$7-A40</f>
        <v>8.4399999999999924</v>
      </c>
      <c r="E40" s="9">
        <f>(-1)^($A$50-A40)*FACT(A40)*FACT($A$50-A40)</f>
        <v>3628800</v>
      </c>
      <c r="F40" s="9">
        <f t="shared" ref="F40:F50" si="4">D40*E40</f>
        <v>30627071.999999974</v>
      </c>
      <c r="G40" s="16">
        <f t="shared" ref="G40:G50" si="5">C40/F40</f>
        <v>1.617196707540311E-7</v>
      </c>
    </row>
    <row r="41" spans="1:8" x14ac:dyDescent="0.25">
      <c r="A41" s="7">
        <v>2</v>
      </c>
      <c r="B41" s="10">
        <v>0.17</v>
      </c>
      <c r="C41" s="15">
        <v>5.4739000000000004</v>
      </c>
      <c r="D41" s="9">
        <f t="shared" si="3"/>
        <v>7.4399999999999924</v>
      </c>
      <c r="E41" s="9">
        <f>(-1)^($A$50-A41)*FACT(A41)*FACT($A$50-A41)</f>
        <v>-725760</v>
      </c>
      <c r="F41" s="9">
        <f t="shared" si="4"/>
        <v>-5399654.3999999948</v>
      </c>
      <c r="G41" s="16">
        <f t="shared" si="5"/>
        <v>-1.0137500651893584E-6</v>
      </c>
    </row>
    <row r="42" spans="1:8" x14ac:dyDescent="0.25">
      <c r="A42" s="7">
        <v>3</v>
      </c>
      <c r="B42" s="10">
        <v>0.18</v>
      </c>
      <c r="C42" s="15">
        <v>6.0495999999999999</v>
      </c>
      <c r="D42" s="9">
        <f t="shared" si="3"/>
        <v>6.4399999999999924</v>
      </c>
      <c r="E42" s="9">
        <f>(-1)^($A$50-A42)*FACT(A42)*FACT($A$50-A42)</f>
        <v>241920</v>
      </c>
      <c r="F42" s="9">
        <f t="shared" si="4"/>
        <v>1557964.7999999982</v>
      </c>
      <c r="G42" s="16">
        <f t="shared" si="5"/>
        <v>3.8830145584804011E-6</v>
      </c>
    </row>
    <row r="43" spans="1:8" x14ac:dyDescent="0.25">
      <c r="A43" s="7">
        <v>4</v>
      </c>
      <c r="B43" s="10">
        <v>0.19</v>
      </c>
      <c r="C43" s="15">
        <v>6.6859000000000002</v>
      </c>
      <c r="D43" s="9">
        <f t="shared" si="3"/>
        <v>5.4399999999999924</v>
      </c>
      <c r="E43" s="9">
        <f>(-1)^($A$50-A43)*FACT(A43)*FACT($A$50-A43)</f>
        <v>-120960</v>
      </c>
      <c r="F43" s="9">
        <f t="shared" si="4"/>
        <v>-658022.39999999909</v>
      </c>
      <c r="G43" s="16">
        <f t="shared" si="5"/>
        <v>-1.0160596356598209E-5</v>
      </c>
    </row>
    <row r="44" spans="1:8" x14ac:dyDescent="0.25">
      <c r="A44" s="7">
        <v>5</v>
      </c>
      <c r="B44" s="10">
        <v>0.2</v>
      </c>
      <c r="C44" s="15">
        <v>7.3891</v>
      </c>
      <c r="D44" s="9">
        <f t="shared" si="3"/>
        <v>4.4399999999999924</v>
      </c>
      <c r="E44" s="9">
        <f>(-1)^($A$50-A44)*FACT(A44)*FACT($A$50-A44)</f>
        <v>86400</v>
      </c>
      <c r="F44" s="9">
        <f t="shared" si="4"/>
        <v>383615.99999999936</v>
      </c>
      <c r="G44" s="16">
        <f t="shared" si="5"/>
        <v>1.926170962629299E-5</v>
      </c>
    </row>
    <row r="45" spans="1:8" x14ac:dyDescent="0.25">
      <c r="A45" s="7">
        <v>6</v>
      </c>
      <c r="B45" s="10">
        <v>0.21</v>
      </c>
      <c r="C45" s="15">
        <v>8.1661999999999999</v>
      </c>
      <c r="D45" s="9">
        <f t="shared" si="3"/>
        <v>3.4399999999999924</v>
      </c>
      <c r="E45" s="9">
        <f>(-1)^($A$50-A45)*FACT(A45)*FACT($A$50-A45)</f>
        <v>-86400</v>
      </c>
      <c r="F45" s="9">
        <f t="shared" si="4"/>
        <v>-297215.99999999936</v>
      </c>
      <c r="G45" s="16">
        <f t="shared" si="5"/>
        <v>-2.7475640611541834E-5</v>
      </c>
    </row>
    <row r="46" spans="1:8" x14ac:dyDescent="0.25">
      <c r="A46" s="7">
        <v>7</v>
      </c>
      <c r="B46" s="10">
        <v>0.22</v>
      </c>
      <c r="C46" s="15">
        <v>9.0250000000000004</v>
      </c>
      <c r="D46" s="9">
        <f t="shared" si="3"/>
        <v>2.4399999999999924</v>
      </c>
      <c r="E46" s="9">
        <f>(-1)^($A$50-A46)*FACT(A46)*FACT($A$50-A46)</f>
        <v>120960</v>
      </c>
      <c r="F46" s="9">
        <f t="shared" si="4"/>
        <v>295142.39999999909</v>
      </c>
      <c r="G46" s="16">
        <f t="shared" si="5"/>
        <v>3.057845975366477E-5</v>
      </c>
    </row>
    <row r="47" spans="1:8" x14ac:dyDescent="0.25">
      <c r="A47" s="7">
        <v>8</v>
      </c>
      <c r="B47" s="10">
        <v>0.23</v>
      </c>
      <c r="C47" s="15">
        <v>9.9741999999999997</v>
      </c>
      <c r="D47" s="9">
        <f t="shared" si="3"/>
        <v>1.4399999999999924</v>
      </c>
      <c r="E47" s="9">
        <f>(-1)^($A$50-A47)*FACT(A47)*FACT($A$50-A47)</f>
        <v>-241920</v>
      </c>
      <c r="F47" s="9">
        <f>D47*E47</f>
        <v>-348364.79999999818</v>
      </c>
      <c r="G47" s="16">
        <f t="shared" si="5"/>
        <v>-2.8631480562904321E-5</v>
      </c>
    </row>
    <row r="48" spans="1:8" x14ac:dyDescent="0.25">
      <c r="A48" s="7">
        <v>9</v>
      </c>
      <c r="B48" s="10">
        <v>0.24</v>
      </c>
      <c r="C48" s="15">
        <v>11.023199999999999</v>
      </c>
      <c r="D48" s="9">
        <f t="shared" si="3"/>
        <v>0.4399999999999924</v>
      </c>
      <c r="E48" s="9">
        <f>(-1)^($A$50-A48)*FACT(A48)*FACT($A$50-A48)</f>
        <v>725760</v>
      </c>
      <c r="F48" s="9">
        <f t="shared" si="4"/>
        <v>319334.39999999449</v>
      </c>
      <c r="G48" s="16">
        <f t="shared" si="5"/>
        <v>3.4519300144300736E-5</v>
      </c>
    </row>
    <row r="49" spans="1:8" x14ac:dyDescent="0.25">
      <c r="A49" s="7">
        <v>10</v>
      </c>
      <c r="B49" s="10">
        <v>0.25</v>
      </c>
      <c r="C49" s="15">
        <v>12.182499999999999</v>
      </c>
      <c r="D49" s="9">
        <f t="shared" si="3"/>
        <v>-0.5600000000000076</v>
      </c>
      <c r="E49" s="9">
        <f>(-1)^($A$50-A49)*FACT(A49)*FACT($A$50-A49)</f>
        <v>-3628800</v>
      </c>
      <c r="F49" s="9">
        <f t="shared" si="4"/>
        <v>2032128.0000000275</v>
      </c>
      <c r="G49" s="16">
        <f t="shared" si="5"/>
        <v>5.9949471686822062E-6</v>
      </c>
    </row>
    <row r="50" spans="1:8" x14ac:dyDescent="0.25">
      <c r="A50" s="7">
        <v>11</v>
      </c>
      <c r="B50" s="10">
        <v>0.26</v>
      </c>
      <c r="C50" s="15">
        <v>13.463699999999999</v>
      </c>
      <c r="D50" s="9">
        <f t="shared" si="3"/>
        <v>-1.5600000000000076</v>
      </c>
      <c r="E50" s="9">
        <f>(-1)^($A$50-A50)*FACT(A50)*FACT($A$50-A50)</f>
        <v>39916800</v>
      </c>
      <c r="F50" s="9">
        <f t="shared" si="4"/>
        <v>-62270208.000000305</v>
      </c>
      <c r="G50" s="16">
        <f t="shared" si="5"/>
        <v>-2.162141485058141E-7</v>
      </c>
    </row>
    <row r="52" spans="1:8" x14ac:dyDescent="0.25">
      <c r="A52" t="s">
        <v>15</v>
      </c>
      <c r="C52">
        <f>PRODUCT(D39:D50)</f>
        <v>428381.96289750619</v>
      </c>
    </row>
    <row r="53" spans="1:8" x14ac:dyDescent="0.25">
      <c r="A53" t="s">
        <v>16</v>
      </c>
      <c r="C53" s="12">
        <f>SUM(G39:G50)</f>
        <v>2.6889575529750108E-5</v>
      </c>
    </row>
    <row r="54" spans="1:8" x14ac:dyDescent="0.25">
      <c r="A54" t="s">
        <v>17</v>
      </c>
      <c r="C54">
        <f>C53*C52</f>
        <v>11.519009146915101</v>
      </c>
    </row>
    <row r="57" spans="1:8" x14ac:dyDescent="0.25">
      <c r="A57" s="6" t="s">
        <v>8</v>
      </c>
      <c r="B57" s="6" t="s">
        <v>9</v>
      </c>
      <c r="C57" s="6" t="s">
        <v>10</v>
      </c>
      <c r="D57" s="6" t="s">
        <v>11</v>
      </c>
      <c r="E57" s="6" t="s">
        <v>12</v>
      </c>
      <c r="F57" s="6" t="s">
        <v>13</v>
      </c>
      <c r="G57" s="6" t="s">
        <v>14</v>
      </c>
      <c r="H57" s="18" t="s">
        <v>4</v>
      </c>
    </row>
    <row r="58" spans="1:8" x14ac:dyDescent="0.25">
      <c r="A58" s="7">
        <v>0</v>
      </c>
      <c r="B58" s="10">
        <v>0.15</v>
      </c>
      <c r="C58" s="15">
        <v>4.4817</v>
      </c>
      <c r="D58" s="7">
        <f>$E$8-A58</f>
        <v>-0.85</v>
      </c>
      <c r="E58" s="9">
        <f>(-1)^($A$69-A58)*FACT(A58)*FACT($A$69-A58)</f>
        <v>-39916800</v>
      </c>
      <c r="F58" s="9">
        <f>D58*E58</f>
        <v>33929280</v>
      </c>
      <c r="G58" s="16">
        <f>C58/F58</f>
        <v>1.3208945194239311E-7</v>
      </c>
    </row>
    <row r="59" spans="1:8" x14ac:dyDescent="0.25">
      <c r="A59" s="7">
        <v>1</v>
      </c>
      <c r="B59" s="10">
        <v>0.16</v>
      </c>
      <c r="C59" s="15">
        <v>4.9530000000000003</v>
      </c>
      <c r="D59" s="9">
        <f t="shared" ref="D59:D69" si="6">$E$8-A59</f>
        <v>-1.85</v>
      </c>
      <c r="E59" s="9">
        <f t="shared" ref="E59:E69" si="7">(-1)^($A$69-A59)*FACT(A59)*FACT($A$69-A59)</f>
        <v>3628800</v>
      </c>
      <c r="F59" s="9">
        <f t="shared" ref="F59:F65" si="8">D59*E59</f>
        <v>-6713280</v>
      </c>
      <c r="G59" s="16">
        <f t="shared" ref="G59:G69" si="9">C59/F59</f>
        <v>-7.3779136279136283E-7</v>
      </c>
    </row>
    <row r="60" spans="1:8" x14ac:dyDescent="0.25">
      <c r="A60" s="7">
        <v>2</v>
      </c>
      <c r="B60" s="10">
        <v>0.17</v>
      </c>
      <c r="C60" s="15">
        <v>5.4739000000000004</v>
      </c>
      <c r="D60" s="9">
        <f t="shared" si="6"/>
        <v>-2.85</v>
      </c>
      <c r="E60" s="9">
        <f t="shared" si="7"/>
        <v>-725760</v>
      </c>
      <c r="F60" s="9">
        <f t="shared" si="8"/>
        <v>2068416</v>
      </c>
      <c r="G60" s="16">
        <f t="shared" si="9"/>
        <v>2.6464212228101119E-6</v>
      </c>
    </row>
    <row r="61" spans="1:8" x14ac:dyDescent="0.25">
      <c r="A61" s="7">
        <v>3</v>
      </c>
      <c r="B61" s="10">
        <v>0.18</v>
      </c>
      <c r="C61" s="15">
        <v>6.0495999999999999</v>
      </c>
      <c r="D61" s="9">
        <f t="shared" si="6"/>
        <v>-3.85</v>
      </c>
      <c r="E61" s="9">
        <f t="shared" si="7"/>
        <v>241920</v>
      </c>
      <c r="F61" s="9">
        <f t="shared" si="8"/>
        <v>-931392</v>
      </c>
      <c r="G61" s="16">
        <f t="shared" si="9"/>
        <v>-6.4952243523672094E-6</v>
      </c>
    </row>
    <row r="62" spans="1:8" x14ac:dyDescent="0.25">
      <c r="A62" s="7">
        <v>4</v>
      </c>
      <c r="B62" s="10">
        <v>0.19</v>
      </c>
      <c r="C62" s="15">
        <v>6.6859000000000002</v>
      </c>
      <c r="D62" s="9">
        <f t="shared" si="6"/>
        <v>-4.8499999999999996</v>
      </c>
      <c r="E62" s="9">
        <f t="shared" si="7"/>
        <v>-120960</v>
      </c>
      <c r="F62" s="9">
        <f t="shared" si="8"/>
        <v>586656</v>
      </c>
      <c r="G62" s="16">
        <f t="shared" si="9"/>
        <v>1.1396627665957563E-5</v>
      </c>
    </row>
    <row r="63" spans="1:8" x14ac:dyDescent="0.25">
      <c r="A63" s="7">
        <v>5</v>
      </c>
      <c r="B63" s="10">
        <v>0.2</v>
      </c>
      <c r="C63" s="15">
        <v>7.3891</v>
      </c>
      <c r="D63" s="9">
        <f t="shared" si="6"/>
        <v>-5.85</v>
      </c>
      <c r="E63" s="9">
        <f t="shared" si="7"/>
        <v>86400</v>
      </c>
      <c r="F63" s="9">
        <f t="shared" si="8"/>
        <v>-505439.99999999994</v>
      </c>
      <c r="G63" s="16">
        <f t="shared" si="9"/>
        <v>-1.461914371636594E-5</v>
      </c>
    </row>
    <row r="64" spans="1:8" x14ac:dyDescent="0.25">
      <c r="A64" s="7">
        <v>6</v>
      </c>
      <c r="B64" s="10">
        <v>0.21</v>
      </c>
      <c r="C64" s="15">
        <v>8.1661999999999999</v>
      </c>
      <c r="D64" s="9">
        <f t="shared" si="6"/>
        <v>-6.85</v>
      </c>
      <c r="E64" s="9">
        <f t="shared" si="7"/>
        <v>-86400</v>
      </c>
      <c r="F64" s="9">
        <f t="shared" si="8"/>
        <v>591840</v>
      </c>
      <c r="G64" s="16">
        <f t="shared" si="9"/>
        <v>1.3797985942146526E-5</v>
      </c>
    </row>
    <row r="65" spans="1:8" x14ac:dyDescent="0.25">
      <c r="A65" s="7">
        <v>7</v>
      </c>
      <c r="B65" s="10">
        <v>0.22</v>
      </c>
      <c r="C65" s="15">
        <v>9.0250000000000004</v>
      </c>
      <c r="D65" s="9">
        <f t="shared" si="6"/>
        <v>-7.85</v>
      </c>
      <c r="E65" s="9">
        <f t="shared" si="7"/>
        <v>120960</v>
      </c>
      <c r="F65" s="9">
        <f t="shared" si="8"/>
        <v>-949536</v>
      </c>
      <c r="G65" s="16">
        <f t="shared" si="9"/>
        <v>-9.5046422673811205E-6</v>
      </c>
    </row>
    <row r="66" spans="1:8" x14ac:dyDescent="0.25">
      <c r="A66" s="7">
        <v>8</v>
      </c>
      <c r="B66" s="10">
        <v>0.23</v>
      </c>
      <c r="C66" s="15">
        <v>9.9741999999999997</v>
      </c>
      <c r="D66" s="9">
        <f t="shared" si="6"/>
        <v>-8.85</v>
      </c>
      <c r="E66" s="9">
        <f t="shared" si="7"/>
        <v>-241920</v>
      </c>
      <c r="F66" s="9">
        <f>D66*E66</f>
        <v>2140992</v>
      </c>
      <c r="G66" s="16">
        <f t="shared" si="9"/>
        <v>4.6586815831166116E-6</v>
      </c>
    </row>
    <row r="67" spans="1:8" x14ac:dyDescent="0.25">
      <c r="A67" s="7">
        <v>9</v>
      </c>
      <c r="B67" s="10">
        <v>0.24</v>
      </c>
      <c r="C67" s="15">
        <v>11.023199999999999</v>
      </c>
      <c r="D67" s="9">
        <f t="shared" si="6"/>
        <v>-9.85</v>
      </c>
      <c r="E67" s="9">
        <f t="shared" si="7"/>
        <v>725760</v>
      </c>
      <c r="F67" s="9">
        <f t="shared" ref="F67:F69" si="10">D67*E67</f>
        <v>-7148736</v>
      </c>
      <c r="G67" s="16">
        <f t="shared" si="9"/>
        <v>-1.5419788896946257E-6</v>
      </c>
    </row>
    <row r="68" spans="1:8" x14ac:dyDescent="0.25">
      <c r="A68" s="7">
        <v>10</v>
      </c>
      <c r="B68" s="10">
        <v>0.25</v>
      </c>
      <c r="C68" s="15">
        <v>12.182499999999999</v>
      </c>
      <c r="D68" s="9">
        <f t="shared" si="6"/>
        <v>-10.85</v>
      </c>
      <c r="E68" s="9">
        <f t="shared" si="7"/>
        <v>-3628800</v>
      </c>
      <c r="F68" s="9">
        <f t="shared" si="10"/>
        <v>39372480</v>
      </c>
      <c r="G68" s="16">
        <f t="shared" si="9"/>
        <v>3.0941662806102128E-7</v>
      </c>
    </row>
    <row r="69" spans="1:8" x14ac:dyDescent="0.25">
      <c r="A69" s="7">
        <v>11</v>
      </c>
      <c r="B69" s="10">
        <v>0.26</v>
      </c>
      <c r="C69" s="15">
        <v>13.463699999999999</v>
      </c>
      <c r="D69" s="9">
        <f t="shared" si="6"/>
        <v>-11.85</v>
      </c>
      <c r="E69" s="9">
        <f t="shared" si="7"/>
        <v>39916800</v>
      </c>
      <c r="F69" s="9">
        <f t="shared" si="10"/>
        <v>-473014080</v>
      </c>
      <c r="G69" s="16">
        <f t="shared" si="9"/>
        <v>-2.8463634740006048E-8</v>
      </c>
    </row>
    <row r="71" spans="1:8" x14ac:dyDescent="0.25">
      <c r="A71" t="s">
        <v>15</v>
      </c>
      <c r="C71">
        <f>PRODUCT(D58:D69)</f>
        <v>295040521.00370651</v>
      </c>
    </row>
    <row r="72" spans="1:8" x14ac:dyDescent="0.25">
      <c r="A72" t="s">
        <v>16</v>
      </c>
      <c r="C72" s="19">
        <f>SUM(G58:G69)</f>
        <v>1.3978270693963371E-8</v>
      </c>
    </row>
    <row r="73" spans="1:8" x14ac:dyDescent="0.25">
      <c r="A73" t="s">
        <v>17</v>
      </c>
      <c r="C73">
        <f>C72*C71</f>
        <v>4.1241562682777957</v>
      </c>
    </row>
    <row r="76" spans="1:8" x14ac:dyDescent="0.25">
      <c r="A76" s="6" t="s">
        <v>8</v>
      </c>
      <c r="B76" s="6" t="s">
        <v>9</v>
      </c>
      <c r="C76" s="6" t="s">
        <v>10</v>
      </c>
      <c r="D76" s="6" t="s">
        <v>11</v>
      </c>
      <c r="E76" s="6" t="s">
        <v>12</v>
      </c>
      <c r="F76" s="6" t="s">
        <v>13</v>
      </c>
      <c r="G76" s="6" t="s">
        <v>14</v>
      </c>
      <c r="H76" s="18" t="s">
        <v>5</v>
      </c>
    </row>
    <row r="77" spans="1:8" x14ac:dyDescent="0.25">
      <c r="A77" s="7">
        <v>0</v>
      </c>
      <c r="B77" s="10">
        <v>0.15</v>
      </c>
      <c r="C77" s="15">
        <v>4.4817</v>
      </c>
      <c r="D77" s="7">
        <f>$E$9-A77</f>
        <v>11.999999999999991</v>
      </c>
      <c r="E77" s="9">
        <f>(-1)^($A$88-A77)*FACT(A77)*FACT($A$88-A77)</f>
        <v>-39916800</v>
      </c>
      <c r="F77" s="9">
        <f>D77*E77</f>
        <v>-479001599.99999964</v>
      </c>
      <c r="G77" s="16">
        <f>C77/F77</f>
        <v>-9.3563361792528536E-9</v>
      </c>
    </row>
    <row r="78" spans="1:8" x14ac:dyDescent="0.25">
      <c r="A78" s="7">
        <v>1</v>
      </c>
      <c r="B78" s="10">
        <v>0.16</v>
      </c>
      <c r="C78" s="15">
        <v>4.9530000000000003</v>
      </c>
      <c r="D78" s="7">
        <f t="shared" ref="D78:D88" si="11">$E$9-A78</f>
        <v>10.999999999999991</v>
      </c>
      <c r="E78" s="9">
        <f t="shared" ref="E78:E88" si="12">(-1)^($A$88-A78)*FACT(A78)*FACT($A$88-A78)</f>
        <v>3628800</v>
      </c>
      <c r="F78" s="9">
        <f t="shared" ref="F78:F84" si="13">D78*E78</f>
        <v>39916799.99999997</v>
      </c>
      <c r="G78" s="16">
        <f t="shared" ref="G78:G88" si="14">C78/F78</f>
        <v>1.2408309283309293E-7</v>
      </c>
    </row>
    <row r="79" spans="1:8" x14ac:dyDescent="0.25">
      <c r="A79" s="7">
        <v>2</v>
      </c>
      <c r="B79" s="10">
        <v>0.17</v>
      </c>
      <c r="C79" s="15">
        <v>5.4739000000000004</v>
      </c>
      <c r="D79" s="7">
        <f t="shared" si="11"/>
        <v>9.9999999999999911</v>
      </c>
      <c r="E79" s="9">
        <f t="shared" si="12"/>
        <v>-725760</v>
      </c>
      <c r="F79" s="9">
        <f t="shared" si="13"/>
        <v>-7257599.9999999935</v>
      </c>
      <c r="G79" s="16">
        <f t="shared" si="14"/>
        <v>-7.5423004850088262E-7</v>
      </c>
    </row>
    <row r="80" spans="1:8" x14ac:dyDescent="0.25">
      <c r="A80" s="7">
        <v>3</v>
      </c>
      <c r="B80" s="10">
        <v>0.18</v>
      </c>
      <c r="C80" s="15">
        <v>6.0495999999999999</v>
      </c>
      <c r="D80" s="7">
        <f t="shared" si="11"/>
        <v>8.9999999999999911</v>
      </c>
      <c r="E80" s="9">
        <f t="shared" si="12"/>
        <v>241920</v>
      </c>
      <c r="F80" s="9">
        <f t="shared" si="13"/>
        <v>2177279.9999999977</v>
      </c>
      <c r="G80" s="16">
        <f t="shared" si="14"/>
        <v>2.7785126396237537E-6</v>
      </c>
    </row>
    <row r="81" spans="1:7" x14ac:dyDescent="0.25">
      <c r="A81" s="7">
        <v>4</v>
      </c>
      <c r="B81" s="10">
        <v>0.19</v>
      </c>
      <c r="C81" s="15">
        <v>6.6859000000000002</v>
      </c>
      <c r="D81" s="7">
        <f t="shared" si="11"/>
        <v>7.9999999999999911</v>
      </c>
      <c r="E81" s="9">
        <f t="shared" si="12"/>
        <v>-120960</v>
      </c>
      <c r="F81" s="9">
        <f t="shared" si="13"/>
        <v>-967679.99999999895</v>
      </c>
      <c r="G81" s="16">
        <f t="shared" si="14"/>
        <v>-6.9092055224867799E-6</v>
      </c>
    </row>
    <row r="82" spans="1:7" x14ac:dyDescent="0.25">
      <c r="A82" s="7">
        <v>5</v>
      </c>
      <c r="B82" s="10">
        <v>0.2</v>
      </c>
      <c r="C82" s="15">
        <v>7.3891</v>
      </c>
      <c r="D82" s="7">
        <f t="shared" si="11"/>
        <v>6.9999999999999911</v>
      </c>
      <c r="E82" s="9">
        <f t="shared" si="12"/>
        <v>86400</v>
      </c>
      <c r="F82" s="9">
        <f t="shared" si="13"/>
        <v>604799.99999999919</v>
      </c>
      <c r="G82" s="16">
        <f t="shared" si="14"/>
        <v>1.2217427248677265E-5</v>
      </c>
    </row>
    <row r="83" spans="1:7" x14ac:dyDescent="0.25">
      <c r="A83" s="7">
        <v>6</v>
      </c>
      <c r="B83" s="10">
        <v>0.21</v>
      </c>
      <c r="C83" s="15">
        <v>8.1661999999999999</v>
      </c>
      <c r="D83" s="7">
        <f t="shared" si="11"/>
        <v>5.9999999999999911</v>
      </c>
      <c r="E83" s="9">
        <f t="shared" si="12"/>
        <v>-86400</v>
      </c>
      <c r="F83" s="9">
        <f t="shared" si="13"/>
        <v>-518399.99999999924</v>
      </c>
      <c r="G83" s="16">
        <f t="shared" si="14"/>
        <v>-1.5752700617283974E-5</v>
      </c>
    </row>
    <row r="84" spans="1:7" x14ac:dyDescent="0.25">
      <c r="A84" s="7">
        <v>7</v>
      </c>
      <c r="B84" s="10">
        <v>0.22</v>
      </c>
      <c r="C84" s="15">
        <v>9.0250000000000004</v>
      </c>
      <c r="D84" s="7">
        <f t="shared" si="11"/>
        <v>4.9999999999999911</v>
      </c>
      <c r="E84" s="9">
        <f t="shared" si="12"/>
        <v>120960</v>
      </c>
      <c r="F84" s="9">
        <f t="shared" si="13"/>
        <v>604799.99999999895</v>
      </c>
      <c r="G84" s="16">
        <f t="shared" si="14"/>
        <v>1.4922288359788386E-5</v>
      </c>
    </row>
    <row r="85" spans="1:7" x14ac:dyDescent="0.25">
      <c r="A85" s="7">
        <v>8</v>
      </c>
      <c r="B85" s="10">
        <v>0.23</v>
      </c>
      <c r="C85" s="15">
        <v>9.9741999999999997</v>
      </c>
      <c r="D85" s="7">
        <f t="shared" si="11"/>
        <v>3.9999999999999911</v>
      </c>
      <c r="E85" s="9">
        <f t="shared" si="12"/>
        <v>-241920</v>
      </c>
      <c r="F85" s="9">
        <f>D85*E85</f>
        <v>-967679.9999999979</v>
      </c>
      <c r="G85" s="16">
        <f t="shared" si="14"/>
        <v>-1.0307333002645525E-5</v>
      </c>
    </row>
    <row r="86" spans="1:7" x14ac:dyDescent="0.25">
      <c r="A86" s="7">
        <v>9</v>
      </c>
      <c r="B86" s="10">
        <v>0.24</v>
      </c>
      <c r="C86" s="15">
        <v>11.023199999999999</v>
      </c>
      <c r="D86" s="7">
        <f t="shared" si="11"/>
        <v>2.9999999999999911</v>
      </c>
      <c r="E86" s="9">
        <f t="shared" si="12"/>
        <v>725760</v>
      </c>
      <c r="F86" s="9">
        <f t="shared" ref="F86:F88" si="15">D86*E86</f>
        <v>2177279.9999999935</v>
      </c>
      <c r="G86" s="16">
        <f t="shared" si="14"/>
        <v>5.0628306878307022E-6</v>
      </c>
    </row>
    <row r="87" spans="1:7" x14ac:dyDescent="0.25">
      <c r="A87" s="7">
        <v>10</v>
      </c>
      <c r="B87" s="10">
        <v>0.25</v>
      </c>
      <c r="C87" s="15">
        <v>12.182499999999999</v>
      </c>
      <c r="D87" s="7">
        <f t="shared" si="11"/>
        <v>1.9999999999999911</v>
      </c>
      <c r="E87" s="9">
        <f t="shared" si="12"/>
        <v>-3628800</v>
      </c>
      <c r="F87" s="9">
        <f t="shared" si="15"/>
        <v>-7257599.9999999674</v>
      </c>
      <c r="G87" s="16">
        <f t="shared" si="14"/>
        <v>-1.6785852072310481E-6</v>
      </c>
    </row>
    <row r="88" spans="1:7" x14ac:dyDescent="0.25">
      <c r="A88" s="7">
        <v>11</v>
      </c>
      <c r="B88" s="10">
        <v>0.26</v>
      </c>
      <c r="C88" s="15">
        <v>13.463699999999999</v>
      </c>
      <c r="D88" s="7">
        <f t="shared" si="11"/>
        <v>0.99999999999999112</v>
      </c>
      <c r="E88" s="9">
        <f t="shared" si="12"/>
        <v>39916800</v>
      </c>
      <c r="F88" s="9">
        <f t="shared" si="15"/>
        <v>39916799.999999642</v>
      </c>
      <c r="G88" s="16">
        <f t="shared" si="14"/>
        <v>3.3729407166907468E-7</v>
      </c>
    </row>
    <row r="90" spans="1:7" x14ac:dyDescent="0.25">
      <c r="A90" t="s">
        <v>15</v>
      </c>
      <c r="C90">
        <f>PRODUCT(D77:D88)</f>
        <v>479001599.99998683</v>
      </c>
    </row>
    <row r="91" spans="1:7" x14ac:dyDescent="0.25">
      <c r="A91" t="s">
        <v>16</v>
      </c>
      <c r="C91" s="19">
        <f>SUM(G77:G88)</f>
        <v>3.1025366094812586E-8</v>
      </c>
    </row>
    <row r="92" spans="1:7" x14ac:dyDescent="0.25">
      <c r="A92" t="s">
        <v>17</v>
      </c>
      <c r="C92">
        <f>C91*C90</f>
        <v>14.861200000000572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2023-05-18T05:03:30Z</dcterms:modified>
</cp:coreProperties>
</file>