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студенты\21ИС-5\Сорокин\"/>
    </mc:Choice>
  </mc:AlternateContent>
  <xr:revisionPtr revIDLastSave="0" documentId="13_ncr:1_{FA8B799D-CAEA-4717-8212-D4700B83A0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D7" i="1"/>
  <c r="D25" i="2"/>
  <c r="D22" i="2"/>
  <c r="E22" i="2" s="1"/>
  <c r="D23" i="2" s="1"/>
  <c r="D17" i="2"/>
  <c r="D16" i="2"/>
  <c r="D8" i="2"/>
  <c r="D7" i="2"/>
  <c r="E7" i="2" s="1"/>
  <c r="E16" i="2"/>
  <c r="E6" i="2"/>
  <c r="D6" i="2"/>
  <c r="B4" i="2"/>
  <c r="B3" i="2"/>
  <c r="E7" i="1"/>
  <c r="E6" i="1"/>
  <c r="D6" i="1"/>
  <c r="B3" i="1"/>
  <c r="B4" i="1"/>
  <c r="E8" i="1" l="1"/>
  <c r="D9" i="1" s="1"/>
  <c r="E25" i="2"/>
  <c r="D26" i="2" s="1"/>
  <c r="E23" i="2"/>
  <c r="D24" i="2" s="1"/>
  <c r="E24" i="2" s="1"/>
  <c r="E17" i="2"/>
  <c r="D18" i="2" s="1"/>
  <c r="E8" i="2"/>
  <c r="D9" i="2" s="1"/>
  <c r="E9" i="1" l="1"/>
  <c r="D10" i="1" s="1"/>
  <c r="E26" i="2"/>
  <c r="D27" i="2" s="1"/>
  <c r="E18" i="2"/>
  <c r="D19" i="2" s="1"/>
  <c r="E9" i="2"/>
  <c r="D10" i="2" s="1"/>
  <c r="E10" i="1" l="1"/>
  <c r="E27" i="2"/>
  <c r="D28" i="2" s="1"/>
  <c r="E19" i="2"/>
  <c r="D20" i="2" s="1"/>
  <c r="E10" i="2"/>
  <c r="D11" i="2"/>
  <c r="D11" i="1" l="1"/>
  <c r="E28" i="2"/>
  <c r="D29" i="2" s="1"/>
  <c r="E29" i="2" s="1"/>
  <c r="E20" i="2"/>
  <c r="D21" i="2" s="1"/>
  <c r="E21" i="2" s="1"/>
  <c r="E11" i="2"/>
  <c r="D12" i="2" s="1"/>
  <c r="E11" i="1" l="1"/>
  <c r="D12" i="1" s="1"/>
  <c r="E12" i="2"/>
  <c r="D13" i="2" s="1"/>
  <c r="E12" i="1" l="1"/>
  <c r="D13" i="1" s="1"/>
  <c r="E13" i="2"/>
  <c r="D14" i="2" s="1"/>
  <c r="E13" i="1" l="1"/>
  <c r="D14" i="1" s="1"/>
  <c r="E14" i="2"/>
  <c r="D15" i="2" s="1"/>
  <c r="E15" i="2" s="1"/>
  <c r="E14" i="1" l="1"/>
  <c r="D15" i="1" s="1"/>
  <c r="E15" i="1" l="1"/>
  <c r="D16" i="1" s="1"/>
  <c r="E16" i="1" l="1"/>
  <c r="D17" i="1" s="1"/>
  <c r="E17" i="1" l="1"/>
  <c r="D18" i="1" l="1"/>
  <c r="E18" i="1" s="1"/>
  <c r="D19" i="1" l="1"/>
  <c r="E19" i="1" s="1"/>
  <c r="D20" i="1" l="1"/>
  <c r="E20" i="1" l="1"/>
  <c r="D21" i="1" s="1"/>
  <c r="E21" i="1" l="1"/>
  <c r="D22" i="1" s="1"/>
  <c r="E22" i="1" l="1"/>
  <c r="D23" i="1" s="1"/>
  <c r="E23" i="1" l="1"/>
</calcChain>
</file>

<file path=xl/sharedStrings.xml><?xml version="1.0" encoding="utf-8"?>
<sst xmlns="http://schemas.openxmlformats.org/spreadsheetml/2006/main" count="12" uniqueCount="6">
  <si>
    <t>[-1;0]</t>
  </si>
  <si>
    <t>№п/п</t>
  </si>
  <si>
    <t>an</t>
  </si>
  <si>
    <t>bn</t>
  </si>
  <si>
    <t>xn</t>
  </si>
  <si>
    <t>f(xn)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</si>
</sst>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left" vertical="top"/>
    </xf>
    <xf numFmtId="165" fontId="0" fillId="0" borderId="1" xfId="0" applyNumberFormat="1" applyBorder="1" applyAlignment="1">
      <alignment horizontal="left" vertical="top"/>
    </xf>
    <xf numFmtId="165" fontId="0" fillId="0" borderId="0" xfId="0" applyNumberFormat="1"/>
    <xf numFmtId="164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165" fontId="0" fillId="2" borderId="0" xfId="0" applyNumberFormat="1" applyFill="1"/>
    <xf numFmtId="0" fontId="0" fillId="2" borderId="0" xfId="0" applyFill="1"/>
    <xf numFmtId="0" fontId="0" fillId="0" borderId="1" xfId="0" applyBorder="1"/>
    <xf numFmtId="165" fontId="0" fillId="0" borderId="1" xfId="0" applyNumberFormat="1" applyBorder="1"/>
    <xf numFmtId="165" fontId="0" fillId="0" borderId="2" xfId="0" applyNumberFormat="1" applyBorder="1"/>
    <xf numFmtId="0" fontId="0" fillId="2" borderId="3" xfId="0" applyFill="1" applyBorder="1"/>
    <xf numFmtId="0" fontId="0" fillId="2" borderId="4" xfId="0" applyFill="1" applyBorder="1"/>
    <xf numFmtId="165" fontId="1" fillId="0" borderId="1" xfId="0" applyNumberFormat="1" applyFont="1" applyBorder="1"/>
    <xf numFmtId="0" fontId="0" fillId="3" borderId="0" xfId="0" applyFill="1"/>
    <xf numFmtId="164" fontId="0" fillId="3" borderId="0" xfId="0" applyNumberFormat="1" applyFill="1" applyAlignment="1">
      <alignment horizontal="right" vertical="center"/>
    </xf>
    <xf numFmtId="165" fontId="0" fillId="5" borderId="0" xfId="0" applyNumberFormat="1" applyFill="1"/>
    <xf numFmtId="0" fontId="0" fillId="5" borderId="0" xfId="0" applyFill="1"/>
    <xf numFmtId="165" fontId="0" fillId="4" borderId="1" xfId="0" applyNumberFormat="1" applyFill="1" applyBorder="1"/>
    <xf numFmtId="0" fontId="0" fillId="5" borderId="3" xfId="0" applyFill="1" applyBorder="1"/>
    <xf numFmtId="0" fontId="0" fillId="5" borderId="4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107156</xdr:colOff>
      <xdr:row>0</xdr:row>
      <xdr:rowOff>59532</xdr:rowOff>
    </xdr:from>
    <xdr:ext cx="164154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DBF1BAC-741C-4300-ACF3-43B5C0788F36}"/>
                </a:ext>
              </a:extLst>
            </xdr:cNvPr>
            <xdr:cNvSpPr txBox="1"/>
          </xdr:nvSpPr>
          <xdr:spPr>
            <a:xfrm>
              <a:off x="107156" y="59532"/>
              <a:ext cx="16415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tan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0,47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+0,2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e>
                    </m:func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DBF1BAC-741C-4300-ACF3-43B5C0788F36}"/>
                </a:ext>
              </a:extLst>
            </xdr:cNvPr>
            <xdr:cNvSpPr txBox="1"/>
          </xdr:nvSpPr>
          <xdr:spPr>
            <a:xfrm>
              <a:off x="107156" y="59532"/>
              <a:ext cx="16415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tan⁡〖(0,47𝑥+0,2)−〗  𝑥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2=0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65485</xdr:colOff>
      <xdr:row>2</xdr:row>
      <xdr:rowOff>83344</xdr:rowOff>
    </xdr:from>
    <xdr:ext cx="2035621" cy="3419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FB4A995-878D-46A8-B0B1-E0732837D2B0}"/>
                </a:ext>
              </a:extLst>
            </xdr:cNvPr>
            <xdr:cNvSpPr txBox="1"/>
          </xdr:nvSpPr>
          <xdr:spPr>
            <a:xfrm>
              <a:off x="65485" y="541735"/>
              <a:ext cx="2035621" cy="3419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𝑥𝑛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0,47</m:t>
                        </m:r>
                      </m:num>
                      <m:den>
                        <m:func>
                          <m:func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𝑐𝑜𝑠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fName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0,47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+0,2</m:t>
                                </m:r>
                              </m:e>
                            </m:d>
                          </m:e>
                        </m:func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−2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FB4A995-878D-46A8-B0B1-E0732837D2B0}"/>
                </a:ext>
              </a:extLst>
            </xdr:cNvPr>
            <xdr:cNvSpPr txBox="1"/>
          </xdr:nvSpPr>
          <xdr:spPr>
            <a:xfrm>
              <a:off x="65485" y="541735"/>
              <a:ext cx="2035621" cy="3419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𝑓^′ (𝑥𝑛)=0,47/〖𝑐𝑜𝑠〗^2⁡(0,47𝑥+0,2) −2𝑥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113110</xdr:colOff>
      <xdr:row>0</xdr:row>
      <xdr:rowOff>95250</xdr:rowOff>
    </xdr:from>
    <xdr:ext cx="172932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B0BDDA3-75CA-4740-BF8F-FAF37B7D49F7}"/>
                </a:ext>
              </a:extLst>
            </xdr:cNvPr>
            <xdr:cNvSpPr txBox="1"/>
          </xdr:nvSpPr>
          <xdr:spPr>
            <a:xfrm>
              <a:off x="113110" y="95250"/>
              <a:ext cx="172932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−0,2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+0,3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+1,2=0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B0BDDA3-75CA-4740-BF8F-FAF37B7D49F7}"/>
                </a:ext>
              </a:extLst>
            </xdr:cNvPr>
            <xdr:cNvSpPr txBox="1"/>
          </xdr:nvSpPr>
          <xdr:spPr>
            <a:xfrm>
              <a:off x="113110" y="95250"/>
              <a:ext cx="172932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3−0,2𝑥^2+0,3𝑥+1,2=0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178594</xdr:colOff>
      <xdr:row>2</xdr:row>
      <xdr:rowOff>17859</xdr:rowOff>
    </xdr:from>
    <xdr:ext cx="1651862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D73B456-0790-47C3-A620-CF3290D3265F}"/>
                </a:ext>
              </a:extLst>
            </xdr:cNvPr>
            <xdr:cNvSpPr txBox="1"/>
          </xdr:nvSpPr>
          <xdr:spPr>
            <a:xfrm>
              <a:off x="178594" y="571500"/>
              <a:ext cx="165186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𝑥𝑛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 3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−0,4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+0,3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D73B456-0790-47C3-A620-CF3290D3265F}"/>
                </a:ext>
              </a:extLst>
            </xdr:cNvPr>
            <xdr:cNvSpPr txBox="1"/>
          </xdr:nvSpPr>
          <xdr:spPr>
            <a:xfrm>
              <a:off x="178594" y="571500"/>
              <a:ext cx="165186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𝑓^′ (𝑥𝑛)= 3𝑥^2−0,4x+0,3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zoomScale="145" zoomScaleNormal="145" workbookViewId="0">
      <selection activeCell="F14" sqref="F14"/>
    </sheetView>
  </sheetViews>
  <sheetFormatPr defaultRowHeight="15" x14ac:dyDescent="0.25"/>
  <cols>
    <col min="1" max="1" width="32" customWidth="1"/>
    <col min="2" max="2" width="13.140625" customWidth="1"/>
  </cols>
  <sheetData>
    <row r="1" spans="1:5" ht="21" customHeight="1" x14ac:dyDescent="0.25"/>
    <row r="2" spans="1:5" x14ac:dyDescent="0.25">
      <c r="A2" t="s">
        <v>0</v>
      </c>
    </row>
    <row r="3" spans="1:5" ht="41.25" customHeight="1" x14ac:dyDescent="0.25">
      <c r="B3" s="15">
        <f>(0.47/((COS(0.47*(-1)+0.2))^2)) - 2*(-1)</f>
        <v>2.5059996809133205</v>
      </c>
      <c r="C3" s="5">
        <v>10</v>
      </c>
    </row>
    <row r="4" spans="1:5" x14ac:dyDescent="0.25">
      <c r="B4" s="4">
        <f>(0.47/((COS(0.47*0+0.2))^2)) - 2*0</f>
        <v>0.48931293849308577</v>
      </c>
    </row>
    <row r="5" spans="1:5" x14ac:dyDescent="0.25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 spans="1:5" x14ac:dyDescent="0.25">
      <c r="A6" s="8">
        <v>0</v>
      </c>
      <c r="B6" s="9">
        <v>-1</v>
      </c>
      <c r="C6" s="10">
        <v>0</v>
      </c>
      <c r="D6" s="9">
        <f>B6</f>
        <v>-1</v>
      </c>
      <c r="E6" s="9">
        <f>TAN(0.47*D6+0.2) - D6^2</f>
        <v>-1.2767581358750304</v>
      </c>
    </row>
    <row r="7" spans="1:5" x14ac:dyDescent="0.25">
      <c r="A7" s="8">
        <v>1</v>
      </c>
      <c r="B7" s="6"/>
      <c r="C7" s="6"/>
      <c r="D7" s="9">
        <f>D6-E6/$B$3</f>
        <v>-0.49051943398104847</v>
      </c>
      <c r="E7" s="9">
        <f>TAN(0.47*D7+0.2) - D7^2</f>
        <v>-0.2711629512869364</v>
      </c>
    </row>
    <row r="8" spans="1:5" x14ac:dyDescent="0.25">
      <c r="A8" s="8">
        <v>2</v>
      </c>
      <c r="B8" s="6"/>
      <c r="C8" s="6"/>
      <c r="D8" s="9">
        <f t="shared" ref="D8:D31" si="0">D7-E7/$B$3</f>
        <v>-0.38231393285819515</v>
      </c>
      <c r="E8" s="9">
        <f t="shared" ref="E7:E70" si="1">TAN(0.47*D8+0.2) - D8^2</f>
        <v>-0.12584869762974604</v>
      </c>
    </row>
    <row r="9" spans="1:5" x14ac:dyDescent="0.25">
      <c r="A9" s="8">
        <v>3</v>
      </c>
      <c r="B9" s="6"/>
      <c r="C9" s="6"/>
      <c r="D9" s="9">
        <f t="shared" si="0"/>
        <v>-0.33209497290051471</v>
      </c>
      <c r="E9" s="9">
        <f t="shared" si="1"/>
        <v>-6.6343455369950372E-2</v>
      </c>
    </row>
    <row r="10" spans="1:5" x14ac:dyDescent="0.25">
      <c r="A10" s="8">
        <v>4</v>
      </c>
      <c r="B10" s="6"/>
      <c r="C10" s="6"/>
      <c r="D10" s="9">
        <f t="shared" si="0"/>
        <v>-0.30562112460945218</v>
      </c>
      <c r="E10" s="9">
        <f t="shared" si="1"/>
        <v>-3.6986455693614972E-2</v>
      </c>
    </row>
    <row r="11" spans="1:5" x14ac:dyDescent="0.25">
      <c r="A11" s="8">
        <v>5</v>
      </c>
      <c r="B11" s="6"/>
      <c r="C11" s="6"/>
      <c r="D11" s="9">
        <f t="shared" si="0"/>
        <v>-0.29086196243743823</v>
      </c>
      <c r="E11" s="9">
        <f t="shared" si="1"/>
        <v>-2.1221143011771929E-2</v>
      </c>
    </row>
    <row r="12" spans="1:5" x14ac:dyDescent="0.25">
      <c r="A12" s="8">
        <v>6</v>
      </c>
      <c r="B12" s="6"/>
      <c r="C12" s="6"/>
      <c r="D12" s="9">
        <f t="shared" si="0"/>
        <v>-0.28239382767533089</v>
      </c>
      <c r="E12" s="9">
        <f t="shared" si="1"/>
        <v>-1.2369695405120951E-2</v>
      </c>
    </row>
    <row r="13" spans="1:5" x14ac:dyDescent="0.25">
      <c r="A13" s="8">
        <v>7</v>
      </c>
      <c r="B13" s="6"/>
      <c r="C13" s="6"/>
      <c r="D13" s="9">
        <f t="shared" si="0"/>
        <v>-0.27745779536082843</v>
      </c>
      <c r="E13" s="9">
        <f t="shared" si="1"/>
        <v>-7.2754144163473811E-3</v>
      </c>
    </row>
    <row r="14" spans="1:5" x14ac:dyDescent="0.25">
      <c r="A14" s="8">
        <v>8</v>
      </c>
      <c r="B14" s="6"/>
      <c r="C14" s="6"/>
      <c r="D14" s="9">
        <f t="shared" si="0"/>
        <v>-0.27455459690004658</v>
      </c>
      <c r="E14" s="9">
        <f t="shared" si="1"/>
        <v>-4.3015480419893587E-3</v>
      </c>
    </row>
    <row r="15" spans="1:5" x14ac:dyDescent="0.25">
      <c r="A15" s="8">
        <v>9</v>
      </c>
      <c r="B15" s="6"/>
      <c r="C15" s="6"/>
      <c r="D15" s="9">
        <f t="shared" si="0"/>
        <v>-0.27283809706377299</v>
      </c>
      <c r="E15" s="9">
        <f t="shared" si="1"/>
        <v>-2.5510711053243901E-3</v>
      </c>
    </row>
    <row r="16" spans="1:5" x14ac:dyDescent="0.25">
      <c r="A16" s="8">
        <v>10</v>
      </c>
      <c r="B16" s="6"/>
      <c r="C16" s="6"/>
      <c r="D16" s="9">
        <f t="shared" si="0"/>
        <v>-0.27182011165669001</v>
      </c>
      <c r="E16" s="9">
        <f t="shared" si="1"/>
        <v>-1.5156745789400294E-3</v>
      </c>
    </row>
    <row r="17" spans="1:5" x14ac:dyDescent="0.25">
      <c r="A17" s="8">
        <v>11</v>
      </c>
      <c r="B17" s="7"/>
      <c r="C17" s="7"/>
      <c r="D17" s="9">
        <f t="shared" si="0"/>
        <v>-0.2712152933119456</v>
      </c>
      <c r="E17" s="9">
        <f t="shared" si="1"/>
        <v>-9.0147746284778563E-4</v>
      </c>
    </row>
    <row r="18" spans="1:5" x14ac:dyDescent="0.25">
      <c r="A18" s="8">
        <v>12</v>
      </c>
      <c r="B18" s="7"/>
      <c r="C18" s="7"/>
      <c r="D18" s="9">
        <f t="shared" si="0"/>
        <v>-0.27085556562733581</v>
      </c>
      <c r="E18" s="9">
        <f t="shared" si="1"/>
        <v>-5.3651294696673013E-4</v>
      </c>
    </row>
    <row r="19" spans="1:5" x14ac:dyDescent="0.25">
      <c r="A19" s="8">
        <v>13</v>
      </c>
      <c r="B19" s="7"/>
      <c r="C19" s="7"/>
      <c r="D19" s="9">
        <f t="shared" si="0"/>
        <v>-0.2706414742405519</v>
      </c>
      <c r="E19" s="9">
        <f t="shared" si="1"/>
        <v>-3.1942573153095899E-4</v>
      </c>
    </row>
    <row r="20" spans="1:5" x14ac:dyDescent="0.25">
      <c r="A20" s="8">
        <v>14</v>
      </c>
      <c r="B20" s="7"/>
      <c r="C20" s="7"/>
      <c r="D20" s="9">
        <f t="shared" si="0"/>
        <v>-0.27051400984621704</v>
      </c>
      <c r="E20" s="9">
        <f t="shared" si="1"/>
        <v>-1.9022053067238587E-4</v>
      </c>
    </row>
    <row r="21" spans="1:5" x14ac:dyDescent="0.25">
      <c r="A21" s="8">
        <v>15</v>
      </c>
      <c r="B21" s="7"/>
      <c r="C21" s="7"/>
      <c r="D21" s="9">
        <f t="shared" si="0"/>
        <v>-0.2704381037987737</v>
      </c>
      <c r="E21" s="9">
        <f t="shared" si="1"/>
        <v>-1.1329300613625859E-4</v>
      </c>
    </row>
    <row r="22" spans="1:5" x14ac:dyDescent="0.25">
      <c r="A22" s="8">
        <v>16</v>
      </c>
      <c r="B22" s="7"/>
      <c r="C22" s="7"/>
      <c r="D22" s="9">
        <f t="shared" si="0"/>
        <v>-0.27039289509144659</v>
      </c>
      <c r="E22" s="9">
        <f t="shared" si="1"/>
        <v>-6.748130628150828E-5</v>
      </c>
    </row>
    <row r="23" spans="1:5" x14ac:dyDescent="0.25">
      <c r="A23" s="8">
        <v>17</v>
      </c>
      <c r="B23" s="11"/>
      <c r="C23" s="12"/>
      <c r="D23" s="18">
        <f t="shared" si="0"/>
        <v>-0.27036596719245465</v>
      </c>
      <c r="E23" s="13">
        <f t="shared" si="1"/>
        <v>-4.0196154672017537E-5</v>
      </c>
    </row>
    <row r="92" spans="4:5" x14ac:dyDescent="0.25">
      <c r="D92" s="3"/>
      <c r="E92" s="3"/>
    </row>
    <row r="93" spans="4:5" x14ac:dyDescent="0.25">
      <c r="D93" s="3"/>
      <c r="E93" s="3"/>
    </row>
    <row r="94" spans="4:5" x14ac:dyDescent="0.25">
      <c r="D94" s="3"/>
      <c r="E94" s="3"/>
    </row>
    <row r="95" spans="4:5" x14ac:dyDescent="0.25">
      <c r="D95" s="3"/>
      <c r="E95" s="3"/>
    </row>
    <row r="96" spans="4:5" x14ac:dyDescent="0.25">
      <c r="D96" s="3"/>
      <c r="E96" s="3"/>
    </row>
    <row r="97" spans="4:5" x14ac:dyDescent="0.25">
      <c r="D97" s="3"/>
      <c r="E97" s="3"/>
    </row>
    <row r="98" spans="4:5" x14ac:dyDescent="0.25">
      <c r="D98" s="3"/>
      <c r="E98" s="3"/>
    </row>
    <row r="99" spans="4:5" x14ac:dyDescent="0.25">
      <c r="D99" s="3"/>
      <c r="E99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548C-C4B7-4212-810E-59AFF6A1F730}">
  <dimension ref="A1:E29"/>
  <sheetViews>
    <sheetView zoomScale="160" zoomScaleNormal="160" workbookViewId="0">
      <selection activeCell="D4" sqref="D4"/>
    </sheetView>
  </sheetViews>
  <sheetFormatPr defaultRowHeight="15" x14ac:dyDescent="0.25"/>
  <cols>
    <col min="1" max="1" width="29.85546875" customWidth="1"/>
  </cols>
  <sheetData>
    <row r="1" spans="1:5" ht="28.5" customHeight="1" x14ac:dyDescent="0.25"/>
    <row r="2" spans="1:5" x14ac:dyDescent="0.25">
      <c r="A2" t="s">
        <v>0</v>
      </c>
    </row>
    <row r="3" spans="1:5" ht="17.25" customHeight="1" x14ac:dyDescent="0.25">
      <c r="B3" s="14">
        <f>3*((-1)^2) - 0.4*(-1) + 0.3</f>
        <v>3.6999999999999997</v>
      </c>
      <c r="C3">
        <v>10</v>
      </c>
    </row>
    <row r="4" spans="1:5" x14ac:dyDescent="0.25">
      <c r="B4">
        <f>3*(0^2) - 0.4*0 + 0.3</f>
        <v>0.3</v>
      </c>
    </row>
    <row r="5" spans="1:5" x14ac:dyDescent="0.25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 spans="1:5" x14ac:dyDescent="0.25">
      <c r="A6" s="8">
        <v>0</v>
      </c>
      <c r="B6" s="9">
        <v>-1</v>
      </c>
      <c r="C6" s="9">
        <v>0</v>
      </c>
      <c r="D6" s="9">
        <f>B6</f>
        <v>-1</v>
      </c>
      <c r="E6" s="9">
        <f>D6^3 - 0.2*(D6^2) + 0.3*D6 + 1.2</f>
        <v>-0.30000000000000004</v>
      </c>
    </row>
    <row r="7" spans="1:5" x14ac:dyDescent="0.25">
      <c r="A7" s="8">
        <v>1</v>
      </c>
      <c r="B7" s="16"/>
      <c r="C7" s="16"/>
      <c r="D7" s="9">
        <f>D6-E6/$C$3</f>
        <v>-0.97</v>
      </c>
      <c r="E7" s="9">
        <f t="shared" ref="E7:E29" si="0">D7^3 - 0.2*(D7^2) + 0.3*D7 + 1.2</f>
        <v>-0.19185299999999983</v>
      </c>
    </row>
    <row r="8" spans="1:5" x14ac:dyDescent="0.25">
      <c r="A8" s="8">
        <v>2</v>
      </c>
      <c r="B8" s="16"/>
      <c r="C8" s="16"/>
      <c r="D8" s="9">
        <f t="shared" ref="D8:D29" si="1">D7-E7/$C$3</f>
        <v>-0.95081470000000001</v>
      </c>
      <c r="E8" s="9">
        <f t="shared" si="0"/>
        <v>-0.12563682118582031</v>
      </c>
    </row>
    <row r="9" spans="1:5" x14ac:dyDescent="0.25">
      <c r="A9" s="8">
        <v>3</v>
      </c>
      <c r="B9" s="16"/>
      <c r="C9" s="16"/>
      <c r="D9" s="9">
        <f t="shared" si="1"/>
        <v>-0.93825101788141796</v>
      </c>
      <c r="E9" s="9">
        <f t="shared" si="0"/>
        <v>-8.3494718931995004E-2</v>
      </c>
    </row>
    <row r="10" spans="1:5" x14ac:dyDescent="0.25">
      <c r="A10" s="8">
        <v>4</v>
      </c>
      <c r="B10" s="16"/>
      <c r="C10" s="16"/>
      <c r="D10" s="9">
        <f t="shared" si="1"/>
        <v>-0.9299015459882185</v>
      </c>
      <c r="E10" s="9">
        <f t="shared" si="0"/>
        <v>-5.6015409261404692E-2</v>
      </c>
    </row>
    <row r="11" spans="1:5" x14ac:dyDescent="0.25">
      <c r="A11" s="8">
        <v>5</v>
      </c>
      <c r="B11" s="16"/>
      <c r="C11" s="16"/>
      <c r="D11" s="9">
        <f t="shared" si="1"/>
        <v>-0.92430000506207799</v>
      </c>
      <c r="E11" s="9">
        <f t="shared" si="0"/>
        <v>-3.7813786271237548E-2</v>
      </c>
    </row>
    <row r="12" spans="1:5" x14ac:dyDescent="0.25">
      <c r="A12" s="8">
        <v>6</v>
      </c>
      <c r="B12" s="16"/>
      <c r="C12" s="16"/>
      <c r="D12" s="9">
        <f t="shared" si="1"/>
        <v>-0.92051862643495419</v>
      </c>
      <c r="E12" s="9">
        <f t="shared" si="0"/>
        <v>-2.5632135002883638E-2</v>
      </c>
    </row>
    <row r="13" spans="1:5" x14ac:dyDescent="0.25">
      <c r="A13" s="8">
        <v>7</v>
      </c>
      <c r="B13" s="16"/>
      <c r="C13" s="16"/>
      <c r="D13" s="9">
        <f t="shared" si="1"/>
        <v>-0.91795541293466587</v>
      </c>
      <c r="E13" s="9">
        <f t="shared" si="0"/>
        <v>-1.742296561235146E-2</v>
      </c>
    </row>
    <row r="14" spans="1:5" x14ac:dyDescent="0.25">
      <c r="A14" s="8">
        <v>8</v>
      </c>
      <c r="B14" s="16"/>
      <c r="C14" s="16"/>
      <c r="D14" s="9">
        <f t="shared" si="1"/>
        <v>-0.91621311637343072</v>
      </c>
      <c r="E14" s="9">
        <f t="shared" si="0"/>
        <v>-1.1865100370408888E-2</v>
      </c>
    </row>
    <row r="15" spans="1:5" x14ac:dyDescent="0.25">
      <c r="A15" s="8">
        <v>9</v>
      </c>
      <c r="B15" s="16"/>
      <c r="C15" s="16"/>
      <c r="D15" s="9">
        <f t="shared" si="1"/>
        <v>-0.91502660633638988</v>
      </c>
      <c r="E15" s="9">
        <f t="shared" si="0"/>
        <v>-8.0904233747636223E-3</v>
      </c>
    </row>
    <row r="16" spans="1:5" x14ac:dyDescent="0.25">
      <c r="A16" s="8">
        <v>10</v>
      </c>
      <c r="B16" s="16"/>
      <c r="C16" s="16"/>
      <c r="D16" s="9">
        <f t="shared" si="1"/>
        <v>-0.91421756399891352</v>
      </c>
      <c r="E16" s="9">
        <f t="shared" si="0"/>
        <v>-5.5213501481876648E-3</v>
      </c>
    </row>
    <row r="17" spans="1:5" x14ac:dyDescent="0.25">
      <c r="A17" s="8">
        <v>11</v>
      </c>
      <c r="B17" s="17"/>
      <c r="C17" s="17"/>
      <c r="D17" s="9">
        <f t="shared" si="1"/>
        <v>-0.91366542898409475</v>
      </c>
      <c r="E17" s="9">
        <f t="shared" si="0"/>
        <v>-3.7702849500564906E-3</v>
      </c>
    </row>
    <row r="18" spans="1:5" x14ac:dyDescent="0.25">
      <c r="A18" s="8">
        <v>12</v>
      </c>
      <c r="B18" s="17"/>
      <c r="C18" s="17"/>
      <c r="D18" s="9">
        <f t="shared" si="1"/>
        <v>-0.9132884004890891</v>
      </c>
      <c r="E18" s="9">
        <f t="shared" si="0"/>
        <v>-2.5755906020590302E-3</v>
      </c>
    </row>
    <row r="19" spans="1:5" x14ac:dyDescent="0.25">
      <c r="A19" s="8">
        <v>13</v>
      </c>
      <c r="B19" s="17"/>
      <c r="C19" s="17"/>
      <c r="D19" s="9">
        <f t="shared" si="1"/>
        <v>-0.91303084142888324</v>
      </c>
      <c r="E19" s="9">
        <f t="shared" si="0"/>
        <v>-1.7599408911792569E-3</v>
      </c>
    </row>
    <row r="20" spans="1:5" x14ac:dyDescent="0.25">
      <c r="A20" s="8">
        <v>14</v>
      </c>
      <c r="B20" s="17"/>
      <c r="C20" s="17"/>
      <c r="D20" s="9">
        <f t="shared" si="1"/>
        <v>-0.9128548473397653</v>
      </c>
      <c r="E20" s="9">
        <f t="shared" si="0"/>
        <v>-1.202819096493446E-3</v>
      </c>
    </row>
    <row r="21" spans="1:5" x14ac:dyDescent="0.25">
      <c r="A21" s="8">
        <v>15</v>
      </c>
      <c r="B21" s="17"/>
      <c r="C21" s="17"/>
      <c r="D21" s="9">
        <f t="shared" si="1"/>
        <v>-0.912734565430116</v>
      </c>
      <c r="E21" s="9">
        <f t="shared" si="0"/>
        <v>-8.2216288720737829E-4</v>
      </c>
    </row>
    <row r="22" spans="1:5" x14ac:dyDescent="0.25">
      <c r="A22" s="8">
        <v>16</v>
      </c>
      <c r="B22" s="17"/>
      <c r="C22" s="17"/>
      <c r="D22" s="9">
        <f t="shared" si="1"/>
        <v>-0.91265234914139526</v>
      </c>
      <c r="E22" s="9">
        <f t="shared" si="0"/>
        <v>-5.6202188199994119E-4</v>
      </c>
    </row>
    <row r="23" spans="1:5" x14ac:dyDescent="0.25">
      <c r="A23" s="8">
        <v>17</v>
      </c>
      <c r="B23" s="17"/>
      <c r="C23" s="17"/>
      <c r="D23" s="9">
        <f t="shared" si="1"/>
        <v>-0.91259614695319524</v>
      </c>
      <c r="E23" s="9">
        <f t="shared" si="0"/>
        <v>-3.8421508919816993E-4</v>
      </c>
    </row>
    <row r="24" spans="1:5" x14ac:dyDescent="0.25">
      <c r="A24" s="8">
        <v>18</v>
      </c>
      <c r="B24" s="17"/>
      <c r="C24" s="17"/>
      <c r="D24" s="9">
        <f t="shared" si="1"/>
        <v>-0.91255772544427538</v>
      </c>
      <c r="E24" s="9">
        <f t="shared" si="0"/>
        <v>-2.626716899318815E-4</v>
      </c>
    </row>
    <row r="25" spans="1:5" x14ac:dyDescent="0.25">
      <c r="A25" s="8">
        <v>19</v>
      </c>
      <c r="B25" s="17"/>
      <c r="C25" s="17"/>
      <c r="D25" s="9">
        <f t="shared" si="1"/>
        <v>-0.91253145827528215</v>
      </c>
      <c r="E25" s="9">
        <f t="shared" si="0"/>
        <v>-1.7958257369543595E-4</v>
      </c>
    </row>
    <row r="26" spans="1:5" x14ac:dyDescent="0.25">
      <c r="A26" s="8">
        <v>20</v>
      </c>
      <c r="B26" s="17"/>
      <c r="C26" s="17"/>
      <c r="D26" s="9">
        <f t="shared" si="1"/>
        <v>-0.91251350001791265</v>
      </c>
      <c r="E26" s="9">
        <f t="shared" si="0"/>
        <v>-1.2277879514543955E-4</v>
      </c>
    </row>
    <row r="27" spans="1:5" x14ac:dyDescent="0.25">
      <c r="A27" s="8">
        <v>21</v>
      </c>
      <c r="B27" s="17"/>
      <c r="C27" s="17"/>
      <c r="D27" s="9">
        <f t="shared" si="1"/>
        <v>-0.91250122213839813</v>
      </c>
      <c r="E27" s="9">
        <f t="shared" si="0"/>
        <v>-8.3943714949130666E-5</v>
      </c>
    </row>
    <row r="28" spans="1:5" x14ac:dyDescent="0.25">
      <c r="A28" s="8">
        <v>22</v>
      </c>
      <c r="B28" s="17"/>
      <c r="C28" s="17"/>
      <c r="D28" s="9">
        <f t="shared" si="1"/>
        <v>-0.91249282776690321</v>
      </c>
      <c r="E28" s="9">
        <f t="shared" si="0"/>
        <v>-5.7392726954486051E-5</v>
      </c>
    </row>
    <row r="29" spans="1:5" x14ac:dyDescent="0.25">
      <c r="A29" s="8">
        <v>23</v>
      </c>
      <c r="B29" s="19"/>
      <c r="C29" s="20"/>
      <c r="D29" s="18">
        <f t="shared" si="1"/>
        <v>-0.91248708849420779</v>
      </c>
      <c r="E29" s="13">
        <f t="shared" si="0"/>
        <v>-3.9239925363476758E-5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S.S.</dc:creator>
  <cp:lastModifiedBy>Student S.S.</cp:lastModifiedBy>
  <dcterms:created xsi:type="dcterms:W3CDTF">2015-06-05T18:19:34Z</dcterms:created>
  <dcterms:modified xsi:type="dcterms:W3CDTF">2023-02-28T09:51:21Z</dcterms:modified>
</cp:coreProperties>
</file>