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УАвиаК\Численные методы\"/>
    </mc:Choice>
  </mc:AlternateContent>
  <xr:revisionPtr revIDLastSave="0" documentId="13_ncr:1_{DFC155D5-BA9F-4CE8-AE9D-688A65D75157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Лист1" sheetId="1" r:id="rId1"/>
    <sheet name="Лист2" sheetId="2" r:id="rId2"/>
    <sheet name="Лист3" sheetId="3" r:id="rId3"/>
    <sheet name="Лист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0" i="4" l="1"/>
  <c r="D20" i="4"/>
  <c r="C20" i="4"/>
  <c r="B20" i="4"/>
  <c r="E19" i="4"/>
  <c r="D19" i="4"/>
  <c r="C19" i="4"/>
  <c r="B19" i="4"/>
  <c r="E18" i="4"/>
  <c r="D18" i="4"/>
  <c r="C18" i="4"/>
  <c r="B18" i="4"/>
  <c r="B17" i="4"/>
  <c r="C17" i="4"/>
  <c r="D16" i="4"/>
  <c r="B16" i="4"/>
  <c r="C16" i="4"/>
  <c r="C15" i="4"/>
  <c r="B15" i="4"/>
  <c r="C14" i="4"/>
  <c r="B14" i="4"/>
  <c r="B13" i="4"/>
  <c r="C13" i="4"/>
  <c r="B12" i="4"/>
  <c r="C12" i="4"/>
  <c r="C11" i="4"/>
  <c r="B11" i="4"/>
  <c r="C10" i="4"/>
  <c r="B10" i="4"/>
  <c r="B9" i="4"/>
  <c r="C9" i="4"/>
  <c r="C8" i="4"/>
  <c r="B8" i="4"/>
  <c r="B7" i="4"/>
  <c r="C7" i="4"/>
  <c r="B6" i="4"/>
  <c r="C6" i="4"/>
  <c r="E5" i="4"/>
  <c r="E6" i="4"/>
  <c r="D5" i="4"/>
  <c r="D6" i="4"/>
  <c r="D7" i="4"/>
  <c r="E7" i="4" s="1"/>
  <c r="D8" i="4"/>
  <c r="E8" i="4" s="1"/>
  <c r="D9" i="4"/>
  <c r="E9" i="4" s="1"/>
  <c r="D11" i="4"/>
  <c r="E11" i="4" s="1"/>
  <c r="D12" i="4"/>
  <c r="E12" i="4" s="1"/>
  <c r="D13" i="4"/>
  <c r="E13" i="4" s="1"/>
  <c r="D14" i="4"/>
  <c r="E14" i="4" s="1"/>
  <c r="D15" i="4"/>
  <c r="E15" i="4" s="1"/>
  <c r="E16" i="4"/>
  <c r="B5" i="4"/>
  <c r="C5" i="4"/>
  <c r="E4" i="4"/>
  <c r="C15" i="2"/>
  <c r="D4" i="4"/>
  <c r="E17" i="3"/>
  <c r="C17" i="3"/>
  <c r="D17" i="3" s="1"/>
  <c r="B17" i="3"/>
  <c r="B16" i="3"/>
  <c r="C16" i="3"/>
  <c r="D16" i="3"/>
  <c r="E16" i="3" s="1"/>
  <c r="E15" i="3"/>
  <c r="D15" i="3"/>
  <c r="B15" i="3"/>
  <c r="C15" i="3"/>
  <c r="C14" i="3"/>
  <c r="B14" i="3"/>
  <c r="C13" i="3"/>
  <c r="B13" i="3"/>
  <c r="B12" i="3"/>
  <c r="C12" i="3"/>
  <c r="C11" i="3"/>
  <c r="B11" i="3"/>
  <c r="B10" i="3"/>
  <c r="C10" i="3"/>
  <c r="C9" i="3"/>
  <c r="B9" i="3"/>
  <c r="C8" i="3"/>
  <c r="B8" i="3"/>
  <c r="C7" i="3"/>
  <c r="B7" i="3"/>
  <c r="B6" i="3"/>
  <c r="C6" i="3"/>
  <c r="B5" i="3"/>
  <c r="E4" i="3"/>
  <c r="C15" i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D12" i="3"/>
  <c r="E12" i="3" s="1"/>
  <c r="D13" i="3"/>
  <c r="E13" i="3" s="1"/>
  <c r="D14" i="3"/>
  <c r="E14" i="3" s="1"/>
  <c r="D4" i="3"/>
  <c r="C16" i="2"/>
  <c r="C17" i="2"/>
  <c r="C18" i="2"/>
  <c r="C19" i="2"/>
  <c r="C20" i="2"/>
  <c r="C21" i="2"/>
  <c r="C22" i="2"/>
  <c r="C23" i="2"/>
  <c r="C24" i="2"/>
  <c r="C25" i="2"/>
  <c r="D2" i="2"/>
  <c r="C16" i="1"/>
  <c r="C17" i="1"/>
  <c r="C18" i="1"/>
  <c r="C19" i="1"/>
  <c r="C20" i="1"/>
  <c r="C21" i="1"/>
  <c r="C22" i="1"/>
  <c r="C23" i="1"/>
  <c r="C24" i="1"/>
  <c r="C25" i="1"/>
  <c r="C2" i="1"/>
  <c r="D6" i="2"/>
  <c r="D3" i="2"/>
  <c r="D4" i="2"/>
  <c r="D5" i="2"/>
  <c r="D7" i="2"/>
  <c r="D8" i="2"/>
  <c r="D9" i="2"/>
  <c r="D10" i="2"/>
  <c r="D11" i="2"/>
  <c r="D12" i="2"/>
  <c r="C3" i="2"/>
  <c r="C4" i="2"/>
  <c r="C5" i="2"/>
  <c r="C6" i="2"/>
  <c r="C7" i="2"/>
  <c r="C8" i="2"/>
  <c r="C9" i="2"/>
  <c r="C10" i="2"/>
  <c r="C11" i="2"/>
  <c r="C12" i="2"/>
  <c r="C2" i="2"/>
  <c r="D17" i="4" l="1"/>
  <c r="E17" i="4" s="1"/>
  <c r="D10" i="4"/>
  <c r="E10" i="4" s="1"/>
  <c r="C3" i="1"/>
  <c r="C4" i="1"/>
  <c r="C5" i="1"/>
  <c r="C6" i="1"/>
  <c r="C7" i="1"/>
  <c r="C8" i="1"/>
  <c r="C9" i="1"/>
  <c r="C10" i="1"/>
  <c r="C11" i="1"/>
  <c r="C12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<sst xmlns="http://schemas.openxmlformats.org/spreadsheetml/2006/main" count="17" uniqueCount="8">
  <si>
    <t>x</t>
  </si>
  <si>
    <t>tan(0,47x+0,2)</t>
  </si>
  <si>
    <t>[-1;0]</t>
  </si>
  <si>
    <t>№п/п</t>
  </si>
  <si>
    <t>xn</t>
  </si>
  <si>
    <t>f(xn)</t>
  </si>
  <si>
    <t>an-</t>
  </si>
  <si>
    <t>bn+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</si>
</sst>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0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 vertical="top"/>
    </xf>
    <xf numFmtId="164" fontId="0" fillId="0" borderId="0" xfId="0" applyNumberFormat="1"/>
    <xf numFmtId="0" fontId="0" fillId="0" borderId="9" xfId="0" applyBorder="1" applyAlignment="1">
      <alignment horizontal="left" vertical="top"/>
    </xf>
    <xf numFmtId="164" fontId="0" fillId="0" borderId="9" xfId="0" applyNumberFormat="1" applyBorder="1" applyAlignment="1">
      <alignment horizontal="left" vertical="top"/>
    </xf>
    <xf numFmtId="0" fontId="0" fillId="0" borderId="9" xfId="0" applyBorder="1"/>
    <xf numFmtId="164" fontId="0" fillId="0" borderId="9" xfId="0" applyNumberFormat="1" applyBorder="1"/>
    <xf numFmtId="165" fontId="0" fillId="0" borderId="0" xfId="0" applyNumberFormat="1"/>
    <xf numFmtId="164" fontId="0" fillId="3" borderId="9" xfId="0" applyNumberFormat="1" applyFont="1" applyFill="1" applyBorder="1"/>
    <xf numFmtId="164" fontId="0" fillId="4" borderId="9" xfId="0" applyNumberFormat="1" applyFont="1" applyFill="1" applyBorder="1"/>
    <xf numFmtId="164" fontId="0" fillId="2" borderId="9" xfId="0" applyNumberFormat="1" applyFont="1" applyFill="1" applyBorder="1"/>
    <xf numFmtId="0" fontId="0" fillId="0" borderId="9" xfId="0" applyBorder="1" applyAlignment="1">
      <alignment horizontal="right" vertical="top"/>
    </xf>
    <xf numFmtId="164" fontId="0" fillId="0" borderId="9" xfId="0" applyNumberFormat="1" applyBorder="1" applyAlignment="1">
      <alignment horizontal="right" vertical="top"/>
    </xf>
    <xf numFmtId="164" fontId="0" fillId="2" borderId="9" xfId="0" applyNumberFormat="1" applyFill="1" applyBorder="1" applyAlignment="1">
      <alignment horizontal="right" vertical="top"/>
    </xf>
    <xf numFmtId="164" fontId="2" fillId="4" borderId="9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223600174978128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tan(0,47x+0,2)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Лист1!$C$2:$C$12</c:f>
              <c:numCache>
                <c:formatCode>General</c:formatCode>
                <c:ptCount val="11"/>
                <c:pt idx="0">
                  <c:v>1.5289797578045681</c:v>
                </c:pt>
                <c:pt idx="1">
                  <c:v>9.1207709356295563</c:v>
                </c:pt>
                <c:pt idx="2">
                  <c:v>-2.6503245949706011</c:v>
                </c:pt>
                <c:pt idx="3">
                  <c:v>-0.91308953327430087</c:v>
                </c:pt>
                <c:pt idx="4">
                  <c:v>-0.27675813587503051</c:v>
                </c:pt>
                <c:pt idx="5">
                  <c:v>0.2027100355086725</c:v>
                </c:pt>
                <c:pt idx="6">
                  <c:v>0.79225417472825665</c:v>
                </c:pt>
                <c:pt idx="7">
                  <c:v>2.1758751312648754</c:v>
                </c:pt>
                <c:pt idx="8">
                  <c:v>-25.494744661811811</c:v>
                </c:pt>
                <c:pt idx="9">
                  <c:v>-1.791107766472712</c:v>
                </c:pt>
                <c:pt idx="10">
                  <c:v>-0.67186475777538801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1E-4EE6-9260-BEAF83021A8D}"/>
            </c:ext>
          </c:extLst>
        </c:ser>
        <c:ser>
          <c:idx val="1"/>
          <c:order val="1"/>
          <c:tx>
            <c:strRef>
              <c:f>Лист1!$D$1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Лист1!$B$2:$B$12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Лист1!$D$2:$D$12</c:f>
              <c:numCache>
                <c:formatCode>General</c:formatCode>
                <c:ptCount val="11"/>
                <c:pt idx="0">
                  <c:v>25</c:v>
                </c:pt>
                <c:pt idx="1">
                  <c:v>16</c:v>
                </c:pt>
                <c:pt idx="2">
                  <c:v>9</c:v>
                </c:pt>
                <c:pt idx="3">
                  <c:v>4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4</c:v>
                </c:pt>
                <c:pt idx="8">
                  <c:v>9</c:v>
                </c:pt>
                <c:pt idx="9">
                  <c:v>16</c:v>
                </c:pt>
                <c:pt idx="10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1E-4EE6-9260-BEAF83021A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990352"/>
        <c:axId val="1430868912"/>
      </c:scatterChart>
      <c:valAx>
        <c:axId val="136699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30868912"/>
        <c:crosses val="autoZero"/>
        <c:crossBetween val="midCat"/>
        <c:majorUnit val="1"/>
      </c:valAx>
      <c:valAx>
        <c:axId val="143086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699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0945822397200351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0453663441601666E-2"/>
          <c:y val="0.17656722791828336"/>
          <c:w val="0.92289442647831899"/>
          <c:h val="0.67103927057973289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Лист2!$B$2:$B$12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Лист2!$C$2:$C$12</c:f>
              <c:numCache>
                <c:formatCode>General</c:formatCode>
                <c:ptCount val="11"/>
                <c:pt idx="0">
                  <c:v>-125</c:v>
                </c:pt>
                <c:pt idx="1">
                  <c:v>-64</c:v>
                </c:pt>
                <c:pt idx="2">
                  <c:v>-27</c:v>
                </c:pt>
                <c:pt idx="3">
                  <c:v>-8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8</c:v>
                </c:pt>
                <c:pt idx="8">
                  <c:v>27</c:v>
                </c:pt>
                <c:pt idx="9">
                  <c:v>64</c:v>
                </c:pt>
                <c:pt idx="10">
                  <c:v>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E6-4558-A2B6-DBF7C7DE1F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Лист2!$B$2:$B$12</c:f>
              <c:numCache>
                <c:formatCode>General</c:formatCode>
                <c:ptCount val="1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xVal>
          <c:yVal>
            <c:numRef>
              <c:f>Лист2!$D$2:$D$12</c:f>
              <c:numCache>
                <c:formatCode>General</c:formatCode>
                <c:ptCount val="11"/>
                <c:pt idx="0">
                  <c:v>5.3</c:v>
                </c:pt>
                <c:pt idx="1">
                  <c:v>3.2</c:v>
                </c:pt>
                <c:pt idx="2">
                  <c:v>1.5000000000000002</c:v>
                </c:pt>
                <c:pt idx="3">
                  <c:v>0.19999999999999996</c:v>
                </c:pt>
                <c:pt idx="4">
                  <c:v>-0.7</c:v>
                </c:pt>
                <c:pt idx="5">
                  <c:v>-1.2</c:v>
                </c:pt>
                <c:pt idx="6">
                  <c:v>-1.2999999999999998</c:v>
                </c:pt>
                <c:pt idx="7">
                  <c:v>-0.99999999999999989</c:v>
                </c:pt>
                <c:pt idx="8">
                  <c:v>-0.29999999999999982</c:v>
                </c:pt>
                <c:pt idx="9">
                  <c:v>0.8</c:v>
                </c:pt>
                <c:pt idx="10">
                  <c:v>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E6-4558-A2B6-DBF7C7DE1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389039"/>
        <c:axId val="441680431"/>
      </c:scatterChart>
      <c:valAx>
        <c:axId val="36638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41680431"/>
        <c:crosses val="autoZero"/>
        <c:crossBetween val="midCat"/>
        <c:majorUnit val="1"/>
      </c:valAx>
      <c:valAx>
        <c:axId val="44168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389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132885</xdr:colOff>
      <xdr:row>0</xdr:row>
      <xdr:rowOff>21372</xdr:rowOff>
    </xdr:from>
    <xdr:ext cx="1387496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D22CC2-46F6-4B15-AB34-76F05ADBF260}"/>
                </a:ext>
              </a:extLst>
            </xdr:cNvPr>
            <xdr:cNvSpPr txBox="1"/>
          </xdr:nvSpPr>
          <xdr:spPr>
            <a:xfrm>
              <a:off x="132885" y="21372"/>
              <a:ext cx="138749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0,47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+0,2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</m:t>
                        </m:r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D22CC2-46F6-4B15-AB34-76F05ADBF260}"/>
                </a:ext>
              </a:extLst>
            </xdr:cNvPr>
            <xdr:cNvSpPr txBox="1"/>
          </xdr:nvSpPr>
          <xdr:spPr>
            <a:xfrm>
              <a:off x="132885" y="21372"/>
              <a:ext cx="1387496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tan⁡〖(0,47𝑥+0,2)=〗  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239751</xdr:colOff>
      <xdr:row>0</xdr:row>
      <xdr:rowOff>21373</xdr:rowOff>
    </xdr:from>
    <xdr:ext cx="18011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1361496-B6EF-4789-9124-14CAED352114}"/>
                </a:ext>
              </a:extLst>
            </xdr:cNvPr>
            <xdr:cNvSpPr txBox="1"/>
          </xdr:nvSpPr>
          <xdr:spPr>
            <a:xfrm>
              <a:off x="3622288" y="21373"/>
              <a:ext cx="18011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21361496-B6EF-4789-9124-14CAED352114}"/>
                </a:ext>
              </a:extLst>
            </xdr:cNvPr>
            <xdr:cNvSpPr txBox="1"/>
          </xdr:nvSpPr>
          <xdr:spPr>
            <a:xfrm>
              <a:off x="3622288" y="21373"/>
              <a:ext cx="18011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5</xdr:col>
      <xdr:colOff>0</xdr:colOff>
      <xdr:row>0</xdr:row>
      <xdr:rowOff>208235</xdr:rowOff>
    </xdr:from>
    <xdr:to>
      <xdr:col>12</xdr:col>
      <xdr:colOff>295604</xdr:colOff>
      <xdr:row>15</xdr:row>
      <xdr:rowOff>41383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5F47F81F-D3F5-4921-823B-4491974C0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94593</xdr:colOff>
      <xdr:row>13</xdr:row>
      <xdr:rowOff>38756</xdr:rowOff>
    </xdr:from>
    <xdr:ext cx="1377108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6C7BDD8-7BAA-493E-B5C0-5DA516893D71}"/>
                </a:ext>
              </a:extLst>
            </xdr:cNvPr>
            <xdr:cNvSpPr txBox="1"/>
          </xdr:nvSpPr>
          <xdr:spPr>
            <a:xfrm>
              <a:off x="2334610" y="2804290"/>
              <a:ext cx="137710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tan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0,47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+0,2</m:t>
                            </m:r>
                          </m:e>
                        </m:d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</m:e>
                    </m:func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6C7BDD8-7BAA-493E-B5C0-5DA516893D71}"/>
                </a:ext>
              </a:extLst>
            </xdr:cNvPr>
            <xdr:cNvSpPr txBox="1"/>
          </xdr:nvSpPr>
          <xdr:spPr>
            <a:xfrm>
              <a:off x="2334610" y="2804290"/>
              <a:ext cx="1377108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tan⁡〖(0,47𝑥+0,2)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  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76701</xdr:colOff>
      <xdr:row>0</xdr:row>
      <xdr:rowOff>44115</xdr:rowOff>
    </xdr:from>
    <xdr:ext cx="172932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43DD6C1-1C40-4CAF-B136-80051E7D7AB9}"/>
                </a:ext>
              </a:extLst>
            </xdr:cNvPr>
            <xdr:cNvSpPr txBox="1"/>
          </xdr:nvSpPr>
          <xdr:spPr>
            <a:xfrm>
              <a:off x="76701" y="44115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−0,2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+0,3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+1,2=0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643DD6C1-1C40-4CAF-B136-80051E7D7AB9}"/>
                </a:ext>
              </a:extLst>
            </xdr:cNvPr>
            <xdr:cNvSpPr txBox="1"/>
          </xdr:nvSpPr>
          <xdr:spPr>
            <a:xfrm>
              <a:off x="76701" y="44115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3−0,2𝑥^2+0,3𝑥+1,2=0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188713</xdr:colOff>
      <xdr:row>1</xdr:row>
      <xdr:rowOff>22027</xdr:rowOff>
    </xdr:from>
    <xdr:ext cx="1525787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C2395C-4C9A-43DB-A80E-15F79CFB5229}"/>
                </a:ext>
              </a:extLst>
            </xdr:cNvPr>
            <xdr:cNvSpPr txBox="1"/>
          </xdr:nvSpPr>
          <xdr:spPr>
            <a:xfrm>
              <a:off x="188713" y="260152"/>
              <a:ext cx="152578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0,2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−0,3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−1,2 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4C2395C-4C9A-43DB-A80E-15F79CFB5229}"/>
                </a:ext>
              </a:extLst>
            </xdr:cNvPr>
            <xdr:cNvSpPr txBox="1"/>
          </xdr:nvSpPr>
          <xdr:spPr>
            <a:xfrm>
              <a:off x="188713" y="260152"/>
              <a:ext cx="1525787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3=〖0,2𝑥〗^2−0,3𝑥−1,2 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2</xdr:col>
      <xdr:colOff>760214</xdr:colOff>
      <xdr:row>0</xdr:row>
      <xdr:rowOff>22028</xdr:rowOff>
    </xdr:from>
    <xdr:ext cx="180113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DD2BFF8-C6C7-48BD-97C5-32B66981474B}"/>
                </a:ext>
              </a:extLst>
            </xdr:cNvPr>
            <xdr:cNvSpPr txBox="1"/>
          </xdr:nvSpPr>
          <xdr:spPr>
            <a:xfrm>
              <a:off x="3284339" y="22028"/>
              <a:ext cx="18011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9DD2BFF8-C6C7-48BD-97C5-32B66981474B}"/>
                </a:ext>
              </a:extLst>
            </xdr:cNvPr>
            <xdr:cNvSpPr txBox="1"/>
          </xdr:nvSpPr>
          <xdr:spPr>
            <a:xfrm>
              <a:off x="3284339" y="22028"/>
              <a:ext cx="18011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𝑥^3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3</xdr:col>
      <xdr:colOff>147041</xdr:colOff>
      <xdr:row>0</xdr:row>
      <xdr:rowOff>22027</xdr:rowOff>
    </xdr:from>
    <xdr:ext cx="1179554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084E1EF-6EDF-412E-A329-FBF28FD356CF}"/>
                </a:ext>
              </a:extLst>
            </xdr:cNvPr>
            <xdr:cNvSpPr txBox="1"/>
          </xdr:nvSpPr>
          <xdr:spPr>
            <a:xfrm>
              <a:off x="3278385" y="22027"/>
              <a:ext cx="117955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0,2</m:t>
                        </m:r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−0,3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−1,2 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084E1EF-6EDF-412E-A329-FBF28FD356CF}"/>
                </a:ext>
              </a:extLst>
            </xdr:cNvPr>
            <xdr:cNvSpPr txBox="1"/>
          </xdr:nvSpPr>
          <xdr:spPr>
            <a:xfrm>
              <a:off x="3278385" y="22027"/>
              <a:ext cx="1179554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〖0,2𝑥〗^2−0,3𝑥−1,2 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4</xdr:col>
      <xdr:colOff>443508</xdr:colOff>
      <xdr:row>1</xdr:row>
      <xdr:rowOff>101798</xdr:rowOff>
    </xdr:from>
    <xdr:to>
      <xdr:col>12</xdr:col>
      <xdr:colOff>157758</xdr:colOff>
      <xdr:row>15</xdr:row>
      <xdr:rowOff>148232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DF429A9-91BE-4104-A774-81BE4FA6EF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</xdr:col>
      <xdr:colOff>117275</xdr:colOff>
      <xdr:row>13</xdr:row>
      <xdr:rowOff>10119</xdr:rowOff>
    </xdr:from>
    <xdr:ext cx="1462323" cy="179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76BDFA0-D931-4EB6-90F6-FF0D9A508521}"/>
                </a:ext>
              </a:extLst>
            </xdr:cNvPr>
            <xdr:cNvSpPr txBox="1"/>
          </xdr:nvSpPr>
          <xdr:spPr>
            <a:xfrm>
              <a:off x="2641400" y="2754510"/>
              <a:ext cx="1462323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−0,2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+0,3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𝑥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+1,2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876BDFA0-D931-4EB6-90F6-FF0D9A508521}"/>
                </a:ext>
              </a:extLst>
            </xdr:cNvPr>
            <xdr:cNvSpPr txBox="1"/>
          </xdr:nvSpPr>
          <xdr:spPr>
            <a:xfrm>
              <a:off x="2641400" y="2754510"/>
              <a:ext cx="1462323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^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3−0,2𝑥^2+0,3𝑥+1,2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65690</xdr:colOff>
      <xdr:row>0</xdr:row>
      <xdr:rowOff>59121</xdr:rowOff>
    </xdr:from>
    <xdr:ext cx="164154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403C8FB-DFA7-4FA5-8376-14CAAB92D0DB}"/>
                </a:ext>
              </a:extLst>
            </xdr:cNvPr>
            <xdr:cNvSpPr txBox="1"/>
          </xdr:nvSpPr>
          <xdr:spPr>
            <a:xfrm>
              <a:off x="65690" y="59121"/>
              <a:ext cx="16415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tan</m:t>
                        </m:r>
                      </m:fName>
                      <m:e>
                        <m:d>
                          <m:d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0,47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+0,2</m:t>
                            </m:r>
                          </m:e>
                        </m:d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e>
                    </m:func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403C8FB-DFA7-4FA5-8376-14CAAB92D0DB}"/>
                </a:ext>
              </a:extLst>
            </xdr:cNvPr>
            <xdr:cNvSpPr txBox="1"/>
          </xdr:nvSpPr>
          <xdr:spPr>
            <a:xfrm>
              <a:off x="65690" y="59121"/>
              <a:ext cx="164154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tan⁡〖(0,47𝑥+0,2)−〗  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2=0</a:t>
              </a:r>
              <a:endParaRPr lang="ru-R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98535</xdr:colOff>
      <xdr:row>0</xdr:row>
      <xdr:rowOff>52552</xdr:rowOff>
    </xdr:from>
    <xdr:ext cx="1729320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08EC644-D164-4216-9152-FEDAE2B74317}"/>
                </a:ext>
              </a:extLst>
            </xdr:cNvPr>
            <xdr:cNvSpPr txBox="1"/>
          </xdr:nvSpPr>
          <xdr:spPr>
            <a:xfrm>
              <a:off x="98535" y="52552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−0,2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𝑥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1">
                        <a:latin typeface="Cambria Math" panose="02040503050406030204" pitchFamily="18" charset="0"/>
                      </a:rPr>
                      <m:t>+0,3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𝑥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+1,2=0</m:t>
                    </m:r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08EC644-D164-4216-9152-FEDAE2B74317}"/>
                </a:ext>
              </a:extLst>
            </xdr:cNvPr>
            <xdr:cNvSpPr txBox="1"/>
          </xdr:nvSpPr>
          <xdr:spPr>
            <a:xfrm>
              <a:off x="98535" y="52552"/>
              <a:ext cx="1729320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𝑥</a:t>
              </a:r>
              <a:r>
                <a:rPr lang="ru-RU" sz="1100" b="0" i="0">
                  <a:latin typeface="Cambria Math" panose="02040503050406030204" pitchFamily="18" charset="0"/>
                </a:rPr>
                <a:t>^</a:t>
              </a:r>
              <a:r>
                <a:rPr lang="en-US" sz="1100" b="0" i="0">
                  <a:latin typeface="Cambria Math" panose="02040503050406030204" pitchFamily="18" charset="0"/>
                </a:rPr>
                <a:t>3−0,2𝑥^2+0,3𝑥+1,2=0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25"/>
  <sheetViews>
    <sheetView zoomScale="145" zoomScaleNormal="145" workbookViewId="0">
      <selection activeCell="D17" sqref="D17"/>
    </sheetView>
  </sheetViews>
  <sheetFormatPr defaultRowHeight="15" x14ac:dyDescent="0.25"/>
  <cols>
    <col min="1" max="1" width="24.42578125" customWidth="1"/>
    <col min="2" max="2" width="9.140625" style="1"/>
    <col min="3" max="3" width="23.140625" style="1" customWidth="1"/>
    <col min="4" max="5" width="9.140625" style="1"/>
  </cols>
  <sheetData>
    <row r="1" spans="2:4" ht="17.25" customHeight="1" x14ac:dyDescent="0.25">
      <c r="B1" s="2" t="s">
        <v>0</v>
      </c>
      <c r="C1" s="3" t="s">
        <v>1</v>
      </c>
      <c r="D1" s="4"/>
    </row>
    <row r="2" spans="2:4" ht="17.25" customHeight="1" x14ac:dyDescent="0.25">
      <c r="B2" s="5">
        <v>-5</v>
      </c>
      <c r="C2" s="6">
        <f>TAN(0.47*B2+0.2)</f>
        <v>1.5289797578045681</v>
      </c>
      <c r="D2" s="7">
        <f>B2^2</f>
        <v>25</v>
      </c>
    </row>
    <row r="3" spans="2:4" x14ac:dyDescent="0.25">
      <c r="B3" s="5">
        <v>-4</v>
      </c>
      <c r="C3" s="6">
        <f t="shared" ref="C3:C12" si="0">TAN(0.47*B3+0.2)</f>
        <v>9.1207709356295563</v>
      </c>
      <c r="D3" s="7">
        <f>B3^2</f>
        <v>16</v>
      </c>
    </row>
    <row r="4" spans="2:4" x14ac:dyDescent="0.25">
      <c r="B4" s="5">
        <v>-3</v>
      </c>
      <c r="C4" s="6">
        <f t="shared" si="0"/>
        <v>-2.6503245949706011</v>
      </c>
      <c r="D4" s="7">
        <f t="shared" ref="D4:D12" si="1">B4^2</f>
        <v>9</v>
      </c>
    </row>
    <row r="5" spans="2:4" x14ac:dyDescent="0.25">
      <c r="B5" s="5">
        <v>-2</v>
      </c>
      <c r="C5" s="6">
        <f t="shared" si="0"/>
        <v>-0.91308953327430087</v>
      </c>
      <c r="D5" s="7">
        <f t="shared" si="1"/>
        <v>4</v>
      </c>
    </row>
    <row r="6" spans="2:4" x14ac:dyDescent="0.25">
      <c r="B6" s="5">
        <v>-1</v>
      </c>
      <c r="C6" s="6">
        <f t="shared" si="0"/>
        <v>-0.27675813587503051</v>
      </c>
      <c r="D6" s="7">
        <f t="shared" si="1"/>
        <v>1</v>
      </c>
    </row>
    <row r="7" spans="2:4" x14ac:dyDescent="0.25">
      <c r="B7" s="5">
        <v>0</v>
      </c>
      <c r="C7" s="6">
        <f t="shared" si="0"/>
        <v>0.2027100355086725</v>
      </c>
      <c r="D7" s="7">
        <f t="shared" si="1"/>
        <v>0</v>
      </c>
    </row>
    <row r="8" spans="2:4" x14ac:dyDescent="0.25">
      <c r="B8" s="5">
        <v>1</v>
      </c>
      <c r="C8" s="6">
        <f t="shared" si="0"/>
        <v>0.79225417472825665</v>
      </c>
      <c r="D8" s="7">
        <f t="shared" si="1"/>
        <v>1</v>
      </c>
    </row>
    <row r="9" spans="2:4" x14ac:dyDescent="0.25">
      <c r="B9" s="5">
        <v>2</v>
      </c>
      <c r="C9" s="6">
        <f t="shared" si="0"/>
        <v>2.1758751312648754</v>
      </c>
      <c r="D9" s="7">
        <f t="shared" si="1"/>
        <v>4</v>
      </c>
    </row>
    <row r="10" spans="2:4" x14ac:dyDescent="0.25">
      <c r="B10" s="5">
        <v>3</v>
      </c>
      <c r="C10" s="6">
        <f t="shared" si="0"/>
        <v>-25.494744661811811</v>
      </c>
      <c r="D10" s="7">
        <f t="shared" si="1"/>
        <v>9</v>
      </c>
    </row>
    <row r="11" spans="2:4" x14ac:dyDescent="0.25">
      <c r="B11" s="5">
        <v>4</v>
      </c>
      <c r="C11" s="6">
        <f t="shared" si="0"/>
        <v>-1.791107766472712</v>
      </c>
      <c r="D11" s="7">
        <f t="shared" si="1"/>
        <v>16</v>
      </c>
    </row>
    <row r="12" spans="2:4" x14ac:dyDescent="0.25">
      <c r="B12" s="8">
        <v>5</v>
      </c>
      <c r="C12" s="9">
        <f t="shared" si="0"/>
        <v>-0.67186475777538801</v>
      </c>
      <c r="D12" s="10">
        <f t="shared" si="1"/>
        <v>25</v>
      </c>
    </row>
    <row r="14" spans="2:4" ht="18.75" customHeight="1" x14ac:dyDescent="0.25">
      <c r="B14" s="2" t="s">
        <v>0</v>
      </c>
      <c r="C14" s="4"/>
    </row>
    <row r="15" spans="2:4" ht="19.5" customHeight="1" x14ac:dyDescent="0.25">
      <c r="B15" s="5">
        <v>-5</v>
      </c>
      <c r="C15" s="7">
        <f>TAN(0.47*B15+0.2) - B15^2</f>
        <v>-23.471020242195433</v>
      </c>
    </row>
    <row r="16" spans="2:4" x14ac:dyDescent="0.25">
      <c r="B16" s="5">
        <v>-4</v>
      </c>
      <c r="C16" s="7">
        <f t="shared" ref="C16:C25" si="2">TAN(0.47*B16+0.2) - B16^2</f>
        <v>-6.8792290643704437</v>
      </c>
    </row>
    <row r="17" spans="2:3" x14ac:dyDescent="0.25">
      <c r="B17" s="5">
        <v>-3</v>
      </c>
      <c r="C17" s="7">
        <f t="shared" si="2"/>
        <v>-11.650324594970602</v>
      </c>
    </row>
    <row r="18" spans="2:3" x14ac:dyDescent="0.25">
      <c r="B18" s="5">
        <v>-2</v>
      </c>
      <c r="C18" s="7">
        <f t="shared" si="2"/>
        <v>-4.9130895332743005</v>
      </c>
    </row>
    <row r="19" spans="2:3" x14ac:dyDescent="0.25">
      <c r="B19" s="11">
        <v>-1</v>
      </c>
      <c r="C19" s="12">
        <f t="shared" si="2"/>
        <v>-1.2767581358750304</v>
      </c>
    </row>
    <row r="20" spans="2:3" x14ac:dyDescent="0.25">
      <c r="B20" s="11">
        <v>0</v>
      </c>
      <c r="C20" s="12">
        <f t="shared" si="2"/>
        <v>0.2027100355086725</v>
      </c>
    </row>
    <row r="21" spans="2:3" x14ac:dyDescent="0.25">
      <c r="B21" s="5">
        <v>1</v>
      </c>
      <c r="C21" s="7">
        <f t="shared" si="2"/>
        <v>-0.20774582527174335</v>
      </c>
    </row>
    <row r="22" spans="2:3" x14ac:dyDescent="0.25">
      <c r="B22" s="5">
        <v>2</v>
      </c>
      <c r="C22" s="7">
        <f t="shared" si="2"/>
        <v>-1.8241248687351246</v>
      </c>
    </row>
    <row r="23" spans="2:3" x14ac:dyDescent="0.25">
      <c r="B23" s="5">
        <v>3</v>
      </c>
      <c r="C23" s="7">
        <f t="shared" si="2"/>
        <v>-34.494744661811808</v>
      </c>
    </row>
    <row r="24" spans="2:3" x14ac:dyDescent="0.25">
      <c r="B24" s="5">
        <v>4</v>
      </c>
      <c r="C24" s="7">
        <f t="shared" si="2"/>
        <v>-17.791107766472713</v>
      </c>
    </row>
    <row r="25" spans="2:3" x14ac:dyDescent="0.25">
      <c r="B25" s="8">
        <v>5</v>
      </c>
      <c r="C25" s="10">
        <f t="shared" si="2"/>
        <v>-25.671864757775388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91DB6-E92F-4487-B0B2-1836C3969EFC}">
  <dimension ref="B1:D25"/>
  <sheetViews>
    <sheetView zoomScale="145" zoomScaleNormal="145" workbookViewId="0">
      <selection activeCell="D17" sqref="D17"/>
    </sheetView>
  </sheetViews>
  <sheetFormatPr defaultRowHeight="15" x14ac:dyDescent="0.25"/>
  <cols>
    <col min="1" max="1" width="28.7109375" customWidth="1"/>
    <col min="2" max="2" width="9.140625" style="1"/>
    <col min="3" max="3" width="24.7109375" style="1" customWidth="1"/>
    <col min="4" max="4" width="21.85546875" style="1" customWidth="1"/>
  </cols>
  <sheetData>
    <row r="1" spans="2:4" ht="18.75" customHeight="1" x14ac:dyDescent="0.25">
      <c r="B1" s="2" t="s">
        <v>0</v>
      </c>
      <c r="C1" s="3"/>
      <c r="D1" s="4"/>
    </row>
    <row r="2" spans="2:4" ht="17.25" customHeight="1" x14ac:dyDescent="0.25">
      <c r="B2" s="5">
        <v>-5</v>
      </c>
      <c r="C2" s="6">
        <f>B2^3</f>
        <v>-125</v>
      </c>
      <c r="D2" s="7">
        <f>0.2*(B2^2) - 0.3*B2 - 1.2</f>
        <v>5.3</v>
      </c>
    </row>
    <row r="3" spans="2:4" x14ac:dyDescent="0.25">
      <c r="B3" s="5">
        <v>-4</v>
      </c>
      <c r="C3" s="6">
        <f t="shared" ref="C3:C12" si="0">B3^3</f>
        <v>-64</v>
      </c>
      <c r="D3" s="7">
        <f t="shared" ref="D3:D12" si="1">0.2*(B3^2) - 0.3*B3 - 1.2</f>
        <v>3.2</v>
      </c>
    </row>
    <row r="4" spans="2:4" x14ac:dyDescent="0.25">
      <c r="B4" s="5">
        <v>-3</v>
      </c>
      <c r="C4" s="6">
        <f t="shared" si="0"/>
        <v>-27</v>
      </c>
      <c r="D4" s="7">
        <f t="shared" si="1"/>
        <v>1.5000000000000002</v>
      </c>
    </row>
    <row r="5" spans="2:4" x14ac:dyDescent="0.25">
      <c r="B5" s="5">
        <v>-2</v>
      </c>
      <c r="C5" s="6">
        <f t="shared" si="0"/>
        <v>-8</v>
      </c>
      <c r="D5" s="7">
        <f t="shared" si="1"/>
        <v>0.19999999999999996</v>
      </c>
    </row>
    <row r="6" spans="2:4" x14ac:dyDescent="0.25">
      <c r="B6" s="5">
        <v>-1</v>
      </c>
      <c r="C6" s="6">
        <f t="shared" si="0"/>
        <v>-1</v>
      </c>
      <c r="D6" s="7">
        <f>0.2*(B6^2) - 0.3*B6 - 1.2</f>
        <v>-0.7</v>
      </c>
    </row>
    <row r="7" spans="2:4" x14ac:dyDescent="0.25">
      <c r="B7" s="5">
        <v>0</v>
      </c>
      <c r="C7" s="6">
        <f t="shared" si="0"/>
        <v>0</v>
      </c>
      <c r="D7" s="7">
        <f t="shared" si="1"/>
        <v>-1.2</v>
      </c>
    </row>
    <row r="8" spans="2:4" x14ac:dyDescent="0.25">
      <c r="B8" s="5">
        <v>1</v>
      </c>
      <c r="C8" s="6">
        <f t="shared" si="0"/>
        <v>1</v>
      </c>
      <c r="D8" s="7">
        <f t="shared" si="1"/>
        <v>-1.2999999999999998</v>
      </c>
    </row>
    <row r="9" spans="2:4" x14ac:dyDescent="0.25">
      <c r="B9" s="5">
        <v>2</v>
      </c>
      <c r="C9" s="6">
        <f t="shared" si="0"/>
        <v>8</v>
      </c>
      <c r="D9" s="7">
        <f t="shared" si="1"/>
        <v>-0.99999999999999989</v>
      </c>
    </row>
    <row r="10" spans="2:4" x14ac:dyDescent="0.25">
      <c r="B10" s="5">
        <v>3</v>
      </c>
      <c r="C10" s="6">
        <f t="shared" si="0"/>
        <v>27</v>
      </c>
      <c r="D10" s="7">
        <f t="shared" si="1"/>
        <v>-0.29999999999999982</v>
      </c>
    </row>
    <row r="11" spans="2:4" x14ac:dyDescent="0.25">
      <c r="B11" s="5">
        <v>4</v>
      </c>
      <c r="C11" s="6">
        <f t="shared" si="0"/>
        <v>64</v>
      </c>
      <c r="D11" s="7">
        <f t="shared" si="1"/>
        <v>0.8</v>
      </c>
    </row>
    <row r="12" spans="2:4" x14ac:dyDescent="0.25">
      <c r="B12" s="8">
        <v>5</v>
      </c>
      <c r="C12" s="9">
        <f t="shared" si="0"/>
        <v>125</v>
      </c>
      <c r="D12" s="10">
        <f t="shared" si="1"/>
        <v>2.2999999999999998</v>
      </c>
    </row>
    <row r="14" spans="2:4" x14ac:dyDescent="0.25">
      <c r="B14" s="2" t="s">
        <v>0</v>
      </c>
      <c r="C14" s="4"/>
    </row>
    <row r="15" spans="2:4" x14ac:dyDescent="0.25">
      <c r="B15" s="5">
        <v>-5</v>
      </c>
      <c r="C15" s="7">
        <f>B15^3 - 0.2*(B15^2) + 0.3*B15 + 1.2</f>
        <v>-130.30000000000001</v>
      </c>
    </row>
    <row r="16" spans="2:4" x14ac:dyDescent="0.25">
      <c r="B16" s="5">
        <v>-4</v>
      </c>
      <c r="C16" s="7">
        <f t="shared" ref="C16:C25" si="2">B16^3 - 0.2*(B16^2) + 0.3*B16 + 1.2</f>
        <v>-67.2</v>
      </c>
    </row>
    <row r="17" spans="2:3" x14ac:dyDescent="0.25">
      <c r="B17" s="5">
        <v>-3</v>
      </c>
      <c r="C17" s="7">
        <f t="shared" si="2"/>
        <v>-28.5</v>
      </c>
    </row>
    <row r="18" spans="2:3" x14ac:dyDescent="0.25">
      <c r="B18" s="5">
        <v>-2</v>
      </c>
      <c r="C18" s="7">
        <f t="shared" si="2"/>
        <v>-8.2000000000000011</v>
      </c>
    </row>
    <row r="19" spans="2:3" x14ac:dyDescent="0.25">
      <c r="B19" s="11">
        <v>-1</v>
      </c>
      <c r="C19" s="12">
        <f t="shared" si="2"/>
        <v>-0.30000000000000004</v>
      </c>
    </row>
    <row r="20" spans="2:3" x14ac:dyDescent="0.25">
      <c r="B20" s="11">
        <v>0</v>
      </c>
      <c r="C20" s="12">
        <f t="shared" si="2"/>
        <v>1.2</v>
      </c>
    </row>
    <row r="21" spans="2:3" x14ac:dyDescent="0.25">
      <c r="B21" s="5">
        <v>1</v>
      </c>
      <c r="C21" s="7">
        <f t="shared" si="2"/>
        <v>2.2999999999999998</v>
      </c>
    </row>
    <row r="22" spans="2:3" x14ac:dyDescent="0.25">
      <c r="B22" s="5">
        <v>2</v>
      </c>
      <c r="C22" s="7">
        <f t="shared" si="2"/>
        <v>9</v>
      </c>
    </row>
    <row r="23" spans="2:3" x14ac:dyDescent="0.25">
      <c r="B23" s="5">
        <v>3</v>
      </c>
      <c r="C23" s="7">
        <f t="shared" si="2"/>
        <v>27.299999999999997</v>
      </c>
    </row>
    <row r="24" spans="2:3" x14ac:dyDescent="0.25">
      <c r="B24" s="5">
        <v>4</v>
      </c>
      <c r="C24" s="7">
        <f t="shared" si="2"/>
        <v>63.2</v>
      </c>
    </row>
    <row r="25" spans="2:3" x14ac:dyDescent="0.25">
      <c r="B25" s="8">
        <v>5</v>
      </c>
      <c r="C25" s="10">
        <f t="shared" si="2"/>
        <v>122.7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AEC7-587A-463B-9EF7-B211BF5CCC27}">
  <dimension ref="A1:E24"/>
  <sheetViews>
    <sheetView tabSelected="1" zoomScale="145" zoomScaleNormal="145" workbookViewId="0">
      <selection activeCell="G10" sqref="G10"/>
    </sheetView>
  </sheetViews>
  <sheetFormatPr defaultRowHeight="15" x14ac:dyDescent="0.25"/>
  <cols>
    <col min="1" max="1" width="26.140625" style="13" customWidth="1"/>
    <col min="2" max="4" width="12.28515625" style="16" customWidth="1"/>
    <col min="5" max="5" width="17.28515625" style="16" customWidth="1"/>
  </cols>
  <sheetData>
    <row r="1" spans="1:5" ht="21.75" customHeight="1" x14ac:dyDescent="0.25"/>
    <row r="2" spans="1:5" x14ac:dyDescent="0.25">
      <c r="A2" s="13" t="s">
        <v>2</v>
      </c>
    </row>
    <row r="3" spans="1:5" x14ac:dyDescent="0.25">
      <c r="A3" s="18" t="s">
        <v>3</v>
      </c>
      <c r="B3" s="19" t="s">
        <v>6</v>
      </c>
      <c r="C3" s="19" t="s">
        <v>7</v>
      </c>
      <c r="D3" s="19" t="s">
        <v>4</v>
      </c>
      <c r="E3" s="19" t="s">
        <v>5</v>
      </c>
    </row>
    <row r="4" spans="1:5" s="15" customFormat="1" x14ac:dyDescent="0.25">
      <c r="A4" s="26">
        <v>0</v>
      </c>
      <c r="B4" s="27">
        <v>-1</v>
      </c>
      <c r="C4" s="27">
        <v>0</v>
      </c>
      <c r="D4" s="27">
        <f>(B4 + C4)/2</f>
        <v>-0.5</v>
      </c>
      <c r="E4" s="27">
        <f>TAN(0.47*D4+0.2) - D4^2</f>
        <v>-0.28501429867305733</v>
      </c>
    </row>
    <row r="5" spans="1:5" s="15" customFormat="1" x14ac:dyDescent="0.25">
      <c r="A5" s="26">
        <v>1</v>
      </c>
      <c r="B5" s="27">
        <f>D4</f>
        <v>-0.5</v>
      </c>
      <c r="C5" s="27">
        <v>0</v>
      </c>
      <c r="D5" s="27">
        <f t="shared" ref="D5:D17" si="0">(B5 + C5)/2</f>
        <v>-0.25</v>
      </c>
      <c r="E5" s="27">
        <f t="shared" ref="E5:E16" si="1">TAN(0.47*D5+0.2) - D5^2</f>
        <v>2.0187682858147121E-2</v>
      </c>
    </row>
    <row r="6" spans="1:5" s="15" customFormat="1" x14ac:dyDescent="0.25">
      <c r="A6" s="26">
        <v>2</v>
      </c>
      <c r="B6" s="27">
        <f>B5</f>
        <v>-0.5</v>
      </c>
      <c r="C6" s="27">
        <f>D5</f>
        <v>-0.25</v>
      </c>
      <c r="D6" s="27">
        <f t="shared" si="0"/>
        <v>-0.375</v>
      </c>
      <c r="E6" s="27">
        <f t="shared" si="1"/>
        <v>-0.11687053349745097</v>
      </c>
    </row>
    <row r="7" spans="1:5" s="15" customFormat="1" x14ac:dyDescent="0.25">
      <c r="A7" s="26">
        <v>3</v>
      </c>
      <c r="B7" s="27">
        <f>D6</f>
        <v>-0.375</v>
      </c>
      <c r="C7" s="27">
        <f>C6</f>
        <v>-0.25</v>
      </c>
      <c r="D7" s="27">
        <f t="shared" si="0"/>
        <v>-0.3125</v>
      </c>
      <c r="E7" s="27">
        <f t="shared" si="1"/>
        <v>-4.4481215894984188E-2</v>
      </c>
    </row>
    <row r="8" spans="1:5" s="15" customFormat="1" x14ac:dyDescent="0.25">
      <c r="A8" s="26">
        <v>4</v>
      </c>
      <c r="B8" s="27">
        <f>D7</f>
        <v>-0.3125</v>
      </c>
      <c r="C8" s="27">
        <f>C7</f>
        <v>-0.25</v>
      </c>
      <c r="D8" s="27">
        <f t="shared" si="0"/>
        <v>-0.28125</v>
      </c>
      <c r="E8" s="27">
        <f t="shared" si="1"/>
        <v>-1.1184924888523157E-2</v>
      </c>
    </row>
    <row r="9" spans="1:5" s="15" customFormat="1" x14ac:dyDescent="0.25">
      <c r="A9" s="26">
        <v>5</v>
      </c>
      <c r="B9" s="27">
        <f>D8</f>
        <v>-0.28125</v>
      </c>
      <c r="C9" s="27">
        <f>C8</f>
        <v>-0.25</v>
      </c>
      <c r="D9" s="27">
        <f t="shared" si="0"/>
        <v>-0.265625</v>
      </c>
      <c r="E9" s="27">
        <f t="shared" si="1"/>
        <v>4.7414355621240023E-3</v>
      </c>
    </row>
    <row r="10" spans="1:5" s="15" customFormat="1" x14ac:dyDescent="0.25">
      <c r="A10" s="26">
        <v>6</v>
      </c>
      <c r="B10" s="27">
        <f>B9</f>
        <v>-0.28125</v>
      </c>
      <c r="C10" s="27">
        <f>D9</f>
        <v>-0.265625</v>
      </c>
      <c r="D10" s="27">
        <f t="shared" si="0"/>
        <v>-0.2734375</v>
      </c>
      <c r="E10" s="27">
        <f t="shared" si="1"/>
        <v>-3.1616799110274485E-3</v>
      </c>
    </row>
    <row r="11" spans="1:5" s="15" customFormat="1" x14ac:dyDescent="0.25">
      <c r="A11" s="26">
        <v>7</v>
      </c>
      <c r="B11" s="27">
        <f>D10</f>
        <v>-0.2734375</v>
      </c>
      <c r="C11" s="27">
        <f>C10</f>
        <v>-0.265625</v>
      </c>
      <c r="D11" s="27">
        <f t="shared" si="0"/>
        <v>-0.26953125</v>
      </c>
      <c r="E11" s="27">
        <f t="shared" si="1"/>
        <v>8.0488769615651157E-4</v>
      </c>
    </row>
    <row r="12" spans="1:5" s="15" customFormat="1" x14ac:dyDescent="0.25">
      <c r="A12" s="26">
        <v>8</v>
      </c>
      <c r="B12" s="27">
        <f>B11</f>
        <v>-0.2734375</v>
      </c>
      <c r="C12" s="27">
        <f>D11</f>
        <v>-0.26953125</v>
      </c>
      <c r="D12" s="27">
        <f t="shared" si="0"/>
        <v>-0.271484375</v>
      </c>
      <c r="E12" s="27">
        <f t="shared" si="1"/>
        <v>-1.1746428495849753E-3</v>
      </c>
    </row>
    <row r="13" spans="1:5" s="15" customFormat="1" x14ac:dyDescent="0.25">
      <c r="A13" s="26">
        <v>9</v>
      </c>
      <c r="B13" s="27">
        <f>D12</f>
        <v>-0.271484375</v>
      </c>
      <c r="C13" s="27">
        <f>C12</f>
        <v>-0.26953125</v>
      </c>
      <c r="D13" s="27">
        <f t="shared" si="0"/>
        <v>-0.2705078125</v>
      </c>
      <c r="E13" s="27">
        <f t="shared" si="1"/>
        <v>-1.8393936099349306E-4</v>
      </c>
    </row>
    <row r="14" spans="1:5" s="15" customFormat="1" x14ac:dyDescent="0.25">
      <c r="A14" s="26">
        <v>10</v>
      </c>
      <c r="B14" s="27">
        <f>D13</f>
        <v>-0.2705078125</v>
      </c>
      <c r="C14" s="27">
        <f>C13</f>
        <v>-0.26953125</v>
      </c>
      <c r="D14" s="27">
        <f t="shared" si="0"/>
        <v>-0.27001953125</v>
      </c>
      <c r="E14" s="27">
        <f t="shared" si="1"/>
        <v>3.107087091661076E-4</v>
      </c>
    </row>
    <row r="15" spans="1:5" s="15" customFormat="1" x14ac:dyDescent="0.25">
      <c r="A15" s="26">
        <v>11</v>
      </c>
      <c r="B15" s="27">
        <f>B14</f>
        <v>-0.2705078125</v>
      </c>
      <c r="C15" s="27">
        <f>D14</f>
        <v>-0.27001953125</v>
      </c>
      <c r="D15" s="27">
        <f t="shared" si="0"/>
        <v>-0.270263671875</v>
      </c>
      <c r="E15" s="27">
        <f t="shared" si="1"/>
        <v>6.3443311025770943E-5</v>
      </c>
    </row>
    <row r="16" spans="1:5" s="15" customFormat="1" x14ac:dyDescent="0.25">
      <c r="A16" s="26">
        <v>12</v>
      </c>
      <c r="B16" s="27">
        <f>B15</f>
        <v>-0.2705078125</v>
      </c>
      <c r="C16" s="27">
        <f>D15</f>
        <v>-0.270263671875</v>
      </c>
      <c r="D16" s="27">
        <f t="shared" si="0"/>
        <v>-0.2703857421875</v>
      </c>
      <c r="E16" s="27">
        <f t="shared" si="1"/>
        <v>-6.0233365556092155E-5</v>
      </c>
    </row>
    <row r="17" spans="1:5" s="15" customFormat="1" x14ac:dyDescent="0.25">
      <c r="A17" s="26">
        <v>13</v>
      </c>
      <c r="B17" s="27">
        <f>D16</f>
        <v>-0.2703857421875</v>
      </c>
      <c r="C17" s="27">
        <f>C16</f>
        <v>-0.270263671875</v>
      </c>
      <c r="D17" s="28">
        <f t="shared" si="0"/>
        <v>-0.27032470703125</v>
      </c>
      <c r="E17" s="29">
        <f>TAN(0.47*D17+0.2) - D17^2</f>
        <v>1.608637567665494E-6</v>
      </c>
    </row>
    <row r="18" spans="1:5" s="15" customFormat="1" x14ac:dyDescent="0.25">
      <c r="A18" s="14"/>
      <c r="B18" s="16"/>
      <c r="C18" s="16"/>
      <c r="D18" s="16"/>
      <c r="E18" s="16"/>
    </row>
    <row r="19" spans="1:5" s="15" customFormat="1" x14ac:dyDescent="0.25">
      <c r="A19" s="14"/>
      <c r="B19" s="16"/>
      <c r="C19" s="16"/>
      <c r="D19" s="16"/>
      <c r="E19" s="16"/>
    </row>
    <row r="20" spans="1:5" s="15" customFormat="1" x14ac:dyDescent="0.25">
      <c r="A20" s="14"/>
      <c r="B20" s="16"/>
      <c r="C20" s="16"/>
      <c r="D20" s="16"/>
      <c r="E20" s="16"/>
    </row>
    <row r="21" spans="1:5" s="15" customFormat="1" x14ac:dyDescent="0.25">
      <c r="A21" s="14"/>
      <c r="B21" s="16"/>
      <c r="C21" s="16"/>
      <c r="D21" s="16"/>
      <c r="E21" s="16"/>
    </row>
    <row r="22" spans="1:5" s="15" customFormat="1" x14ac:dyDescent="0.25">
      <c r="A22" s="14"/>
      <c r="B22" s="16"/>
      <c r="C22" s="16"/>
      <c r="D22" s="16"/>
      <c r="E22" s="16"/>
    </row>
    <row r="23" spans="1:5" s="15" customFormat="1" x14ac:dyDescent="0.25">
      <c r="A23" s="14"/>
      <c r="B23" s="16"/>
      <c r="C23" s="16"/>
      <c r="D23" s="16"/>
      <c r="E23" s="16"/>
    </row>
    <row r="24" spans="1:5" s="15" customFormat="1" x14ac:dyDescent="0.25">
      <c r="A24" s="14"/>
      <c r="B24" s="16"/>
      <c r="C24" s="16"/>
      <c r="D24" s="16"/>
      <c r="E24" s="1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932DB-4638-4BAF-9DF0-71494C66ABC9}">
  <dimension ref="A1:H20"/>
  <sheetViews>
    <sheetView zoomScale="145" zoomScaleNormal="145" workbookViewId="0">
      <selection activeCell="B20" sqref="B20"/>
    </sheetView>
  </sheetViews>
  <sheetFormatPr defaultRowHeight="15" x14ac:dyDescent="0.25"/>
  <cols>
    <col min="1" max="1" width="28.42578125" customWidth="1"/>
    <col min="2" max="3" width="13.42578125" style="17" customWidth="1"/>
    <col min="4" max="4" width="15" style="17" customWidth="1"/>
    <col min="5" max="5" width="13.42578125" style="17" customWidth="1"/>
    <col min="7" max="7" width="10.42578125" customWidth="1"/>
    <col min="8" max="8" width="11.7109375" customWidth="1"/>
  </cols>
  <sheetData>
    <row r="1" spans="1:8" ht="21.75" customHeight="1" x14ac:dyDescent="0.25"/>
    <row r="2" spans="1:8" x14ac:dyDescent="0.25">
      <c r="A2" t="s">
        <v>2</v>
      </c>
    </row>
    <row r="3" spans="1:8" x14ac:dyDescent="0.25">
      <c r="A3" s="18" t="s">
        <v>3</v>
      </c>
      <c r="B3" s="19" t="s">
        <v>6</v>
      </c>
      <c r="C3" s="19" t="s">
        <v>7</v>
      </c>
      <c r="D3" s="19" t="s">
        <v>4</v>
      </c>
      <c r="E3" s="19" t="s">
        <v>5</v>
      </c>
    </row>
    <row r="4" spans="1:8" x14ac:dyDescent="0.25">
      <c r="A4" s="20">
        <v>0</v>
      </c>
      <c r="B4" s="21">
        <v>-1</v>
      </c>
      <c r="C4" s="21">
        <v>0</v>
      </c>
      <c r="D4" s="21">
        <f>(B4+C4)/2</f>
        <v>-0.5</v>
      </c>
      <c r="E4" s="21">
        <f>D4^3 - 0.2*(D4^2) + 0.3*D4 + 1.2</f>
        <v>0.875</v>
      </c>
    </row>
    <row r="5" spans="1:8" x14ac:dyDescent="0.25">
      <c r="A5" s="20">
        <v>1</v>
      </c>
      <c r="B5" s="21">
        <f>B4</f>
        <v>-1</v>
      </c>
      <c r="C5" s="21">
        <f>D4</f>
        <v>-0.5</v>
      </c>
      <c r="D5" s="21">
        <f t="shared" ref="D5:D15" si="0">(B5+C5)/2</f>
        <v>-0.75</v>
      </c>
      <c r="E5" s="21">
        <f t="shared" ref="E5:E20" si="1">D5^3 - 0.2*(D5^2) + 0.3*D5 + 1.2</f>
        <v>0.44062499999999993</v>
      </c>
    </row>
    <row r="6" spans="1:8" x14ac:dyDescent="0.25">
      <c r="A6" s="20">
        <v>2</v>
      </c>
      <c r="B6" s="21">
        <f>B5</f>
        <v>-1</v>
      </c>
      <c r="C6" s="21">
        <f>D5</f>
        <v>-0.75</v>
      </c>
      <c r="D6" s="21">
        <f t="shared" si="0"/>
        <v>-0.875</v>
      </c>
      <c r="E6" s="21">
        <f t="shared" si="1"/>
        <v>0.11445312500000004</v>
      </c>
    </row>
    <row r="7" spans="1:8" x14ac:dyDescent="0.25">
      <c r="A7" s="20">
        <v>3</v>
      </c>
      <c r="B7" s="21">
        <f>B6</f>
        <v>-1</v>
      </c>
      <c r="C7" s="21">
        <f>D6</f>
        <v>-0.875</v>
      </c>
      <c r="D7" s="21">
        <f t="shared" si="0"/>
        <v>-0.9375</v>
      </c>
      <c r="E7" s="21">
        <f t="shared" si="1"/>
        <v>-8.1005859375000044E-2</v>
      </c>
    </row>
    <row r="8" spans="1:8" x14ac:dyDescent="0.25">
      <c r="A8" s="20">
        <v>4</v>
      </c>
      <c r="B8" s="21">
        <f>D7</f>
        <v>-0.9375</v>
      </c>
      <c r="C8" s="21">
        <f>C7</f>
        <v>-0.875</v>
      </c>
      <c r="D8" s="21">
        <f t="shared" si="0"/>
        <v>-0.90625</v>
      </c>
      <c r="E8" s="21">
        <f t="shared" si="1"/>
        <v>1.9573974609375044E-2</v>
      </c>
    </row>
    <row r="9" spans="1:8" x14ac:dyDescent="0.25">
      <c r="A9" s="20">
        <v>5</v>
      </c>
      <c r="B9" s="21">
        <f>B8</f>
        <v>-0.9375</v>
      </c>
      <c r="C9" s="21">
        <f>D8</f>
        <v>-0.90625</v>
      </c>
      <c r="D9" s="21">
        <f t="shared" si="0"/>
        <v>-0.921875</v>
      </c>
      <c r="E9" s="21">
        <f t="shared" si="1"/>
        <v>-2.9991912841796919E-2</v>
      </c>
    </row>
    <row r="10" spans="1:8" x14ac:dyDescent="0.25">
      <c r="A10" s="20">
        <v>6</v>
      </c>
      <c r="B10" s="21">
        <f>D9</f>
        <v>-0.921875</v>
      </c>
      <c r="C10" s="21">
        <f>C9</f>
        <v>-0.90625</v>
      </c>
      <c r="D10" s="21">
        <f t="shared" si="0"/>
        <v>-0.9140625</v>
      </c>
      <c r="E10" s="21">
        <f t="shared" si="1"/>
        <v>-5.0293922424315962E-3</v>
      </c>
    </row>
    <row r="11" spans="1:8" x14ac:dyDescent="0.25">
      <c r="A11" s="20">
        <v>7</v>
      </c>
      <c r="B11" s="21">
        <f>D10</f>
        <v>-0.9140625</v>
      </c>
      <c r="C11" s="21">
        <f>C10</f>
        <v>-0.90625</v>
      </c>
      <c r="D11" s="21">
        <f t="shared" si="0"/>
        <v>-0.91015625</v>
      </c>
      <c r="E11" s="21">
        <f t="shared" si="1"/>
        <v>7.3170065879821777E-3</v>
      </c>
    </row>
    <row r="12" spans="1:8" x14ac:dyDescent="0.25">
      <c r="A12" s="20">
        <v>8</v>
      </c>
      <c r="B12" s="21">
        <f>B11</f>
        <v>-0.9140625</v>
      </c>
      <c r="C12" s="21">
        <f>D11</f>
        <v>-0.91015625</v>
      </c>
      <c r="D12" s="21">
        <f t="shared" si="0"/>
        <v>-0.912109375</v>
      </c>
      <c r="E12" s="21">
        <f t="shared" si="1"/>
        <v>1.1550083756446394E-3</v>
      </c>
    </row>
    <row r="13" spans="1:8" x14ac:dyDescent="0.25">
      <c r="A13" s="20">
        <v>9</v>
      </c>
      <c r="B13" s="21">
        <f>B12</f>
        <v>-0.9140625</v>
      </c>
      <c r="C13" s="21">
        <f>D12</f>
        <v>-0.912109375</v>
      </c>
      <c r="D13" s="21">
        <f t="shared" si="0"/>
        <v>-0.9130859375</v>
      </c>
      <c r="E13" s="21">
        <f t="shared" si="1"/>
        <v>-1.9343888387084451E-3</v>
      </c>
    </row>
    <row r="14" spans="1:8" x14ac:dyDescent="0.25">
      <c r="A14" s="20">
        <v>10</v>
      </c>
      <c r="B14" s="21">
        <f>D13</f>
        <v>-0.9130859375</v>
      </c>
      <c r="C14" s="21">
        <f>C13</f>
        <v>-0.912109375</v>
      </c>
      <c r="D14" s="21">
        <f t="shared" si="0"/>
        <v>-0.91259765625</v>
      </c>
      <c r="E14" s="21">
        <f t="shared" si="1"/>
        <v>-3.8898980710655451E-4</v>
      </c>
    </row>
    <row r="15" spans="1:8" x14ac:dyDescent="0.25">
      <c r="A15" s="20">
        <v>11</v>
      </c>
      <c r="B15" s="21">
        <f>D14</f>
        <v>-0.91259765625</v>
      </c>
      <c r="C15" s="21">
        <f>C14</f>
        <v>-0.912109375</v>
      </c>
      <c r="D15" s="21">
        <f t="shared" si="0"/>
        <v>-0.912353515625</v>
      </c>
      <c r="E15" s="21">
        <f t="shared" si="1"/>
        <v>3.8318434671968937E-4</v>
      </c>
    </row>
    <row r="16" spans="1:8" x14ac:dyDescent="0.25">
      <c r="A16" s="20">
        <v>12</v>
      </c>
      <c r="B16" s="21">
        <f>B15</f>
        <v>-0.91259765625</v>
      </c>
      <c r="C16" s="21">
        <f>D15</f>
        <v>-0.912353515625</v>
      </c>
      <c r="D16" s="23">
        <f>(B16+C16)/2</f>
        <v>-0.9124755859375</v>
      </c>
      <c r="E16" s="23">
        <f t="shared" si="1"/>
        <v>-2.8589591238858958E-6</v>
      </c>
      <c r="H16" s="22"/>
    </row>
    <row r="17" spans="1:5" x14ac:dyDescent="0.25">
      <c r="A17" s="20">
        <v>13</v>
      </c>
      <c r="B17" s="21">
        <f>B16</f>
        <v>-0.91259765625</v>
      </c>
      <c r="C17" s="21">
        <f>D16</f>
        <v>-0.9124755859375</v>
      </c>
      <c r="D17" s="23">
        <f>(B17+C17)/2</f>
        <v>-0.91253662109375</v>
      </c>
      <c r="E17" s="23">
        <f t="shared" si="1"/>
        <v>-1.9591343966562924E-4</v>
      </c>
    </row>
    <row r="18" spans="1:5" x14ac:dyDescent="0.25">
      <c r="A18" s="20">
        <v>14</v>
      </c>
      <c r="B18" s="21">
        <f>D17</f>
        <v>-0.91253662109375</v>
      </c>
      <c r="C18" s="21">
        <f>C17</f>
        <v>-0.9124755859375</v>
      </c>
      <c r="D18" s="23">
        <f>(B18+C18)/2</f>
        <v>-0.912506103515625</v>
      </c>
      <c r="E18" s="23">
        <f t="shared" si="1"/>
        <v>-9.9383463617597201E-5</v>
      </c>
    </row>
    <row r="19" spans="1:5" x14ac:dyDescent="0.25">
      <c r="A19" s="20">
        <v>15</v>
      </c>
      <c r="B19" s="21">
        <f>D18</f>
        <v>-0.912506103515625</v>
      </c>
      <c r="C19" s="21">
        <f>C18</f>
        <v>-0.9124755859375</v>
      </c>
      <c r="D19" s="23">
        <f>(B19+C19)/2</f>
        <v>-0.9124908447265625</v>
      </c>
      <c r="E19" s="23">
        <f t="shared" si="1"/>
        <v>-5.1120527437165109E-5</v>
      </c>
    </row>
    <row r="20" spans="1:5" x14ac:dyDescent="0.25">
      <c r="A20" s="20">
        <v>16</v>
      </c>
      <c r="B20" s="21">
        <f>D19</f>
        <v>-0.9124908447265625</v>
      </c>
      <c r="C20" s="21">
        <f>C19</f>
        <v>-0.9124755859375</v>
      </c>
      <c r="D20" s="25">
        <f>(B20+C20)/2</f>
        <v>-0.91248321533203125</v>
      </c>
      <c r="E20" s="24">
        <f t="shared" si="1"/>
        <v>-2.6989572298408149E-5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Лист2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S.S.</dc:creator>
  <cp:lastModifiedBy>Student S.S.</cp:lastModifiedBy>
  <dcterms:created xsi:type="dcterms:W3CDTF">2015-06-05T18:19:34Z</dcterms:created>
  <dcterms:modified xsi:type="dcterms:W3CDTF">2023-01-31T10:26:22Z</dcterms:modified>
</cp:coreProperties>
</file>