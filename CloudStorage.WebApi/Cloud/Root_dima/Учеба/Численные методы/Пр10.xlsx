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студенты\21ИС-5\Сорокин\"/>
    </mc:Choice>
  </mc:AlternateContent>
  <xr:revisionPtr revIDLastSave="0" documentId="13_ncr:1_{D647EEE3-5653-46CE-8922-46FA8030CD2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5" i="1" l="1"/>
  <c r="H5" i="1"/>
  <c r="I4" i="1"/>
  <c r="H4" i="1"/>
  <c r="I3" i="1"/>
  <c r="H3" i="1"/>
  <c r="I2" i="1"/>
  <c r="H2" i="1"/>
  <c r="I1" i="1"/>
  <c r="H1" i="1"/>
  <c r="L4" i="1" s="1"/>
  <c r="N2" i="2"/>
  <c r="N3" i="2"/>
  <c r="N4" i="2"/>
  <c r="N1" i="2"/>
  <c r="L2" i="2"/>
  <c r="L3" i="2"/>
  <c r="L4" i="2"/>
  <c r="L1" i="2"/>
  <c r="I5" i="2"/>
  <c r="I4" i="2"/>
  <c r="I3" i="2"/>
  <c r="I2" i="2"/>
  <c r="I1" i="2"/>
  <c r="H5" i="2"/>
  <c r="H4" i="2"/>
  <c r="H3" i="2"/>
  <c r="L1" i="1" l="1"/>
  <c r="L2" i="1"/>
  <c r="L3" i="1"/>
  <c r="N4" i="1" l="1"/>
  <c r="N3" i="1"/>
  <c r="N2" i="1"/>
  <c r="N1" i="1"/>
  <c r="H2" i="2" l="1"/>
  <c r="J8" i="2"/>
  <c r="J7" i="2"/>
  <c r="H1" i="2"/>
  <c r="X29" i="2"/>
  <c r="W29" i="2"/>
  <c r="V29" i="2"/>
  <c r="Y28" i="2"/>
  <c r="X28" i="2"/>
  <c r="W28" i="2"/>
  <c r="V28" i="2"/>
  <c r="X27" i="2"/>
  <c r="W27" i="2"/>
  <c r="V27" i="2"/>
  <c r="U27" i="2"/>
  <c r="Y27" i="2" s="1"/>
  <c r="X24" i="2"/>
  <c r="W24" i="2"/>
  <c r="V24" i="2"/>
  <c r="X23" i="2"/>
  <c r="W23" i="2"/>
  <c r="V23" i="2"/>
  <c r="X22" i="2"/>
  <c r="W22" i="2"/>
  <c r="V22" i="2"/>
  <c r="U22" i="2"/>
  <c r="Y23" i="2" s="1"/>
  <c r="X19" i="2"/>
  <c r="W19" i="2"/>
  <c r="V19" i="2"/>
  <c r="Y18" i="2"/>
  <c r="X18" i="2"/>
  <c r="W18" i="2"/>
  <c r="V18" i="2"/>
  <c r="X17" i="2"/>
  <c r="W17" i="2"/>
  <c r="V17" i="2"/>
  <c r="U17" i="2"/>
  <c r="Y17" i="2" s="1"/>
  <c r="X14" i="2"/>
  <c r="W14" i="2"/>
  <c r="V14" i="2"/>
  <c r="Y13" i="2"/>
  <c r="X13" i="2"/>
  <c r="W13" i="2"/>
  <c r="V13" i="2"/>
  <c r="X12" i="2"/>
  <c r="W12" i="2"/>
  <c r="V12" i="2"/>
  <c r="U12" i="2"/>
  <c r="Y12" i="2" s="1"/>
  <c r="X9" i="2"/>
  <c r="W9" i="2"/>
  <c r="V9" i="2"/>
  <c r="X8" i="2"/>
  <c r="W8" i="2"/>
  <c r="V8" i="2"/>
  <c r="X7" i="2"/>
  <c r="W7" i="2"/>
  <c r="V7" i="2"/>
  <c r="U7" i="2"/>
  <c r="Y8" i="2" s="1"/>
  <c r="S29" i="2"/>
  <c r="R29" i="2"/>
  <c r="Q29" i="2"/>
  <c r="T28" i="2"/>
  <c r="S28" i="2"/>
  <c r="R28" i="2"/>
  <c r="Q28" i="2"/>
  <c r="S27" i="2"/>
  <c r="R27" i="2"/>
  <c r="Q27" i="2"/>
  <c r="P27" i="2"/>
  <c r="T27" i="2" s="1"/>
  <c r="S24" i="2"/>
  <c r="R24" i="2"/>
  <c r="Q24" i="2"/>
  <c r="T23" i="2"/>
  <c r="S23" i="2"/>
  <c r="R23" i="2"/>
  <c r="Q23" i="2"/>
  <c r="S22" i="2"/>
  <c r="R22" i="2"/>
  <c r="Q22" i="2"/>
  <c r="P22" i="2"/>
  <c r="T22" i="2" s="1"/>
  <c r="S19" i="2"/>
  <c r="R19" i="2"/>
  <c r="Q19" i="2"/>
  <c r="S18" i="2"/>
  <c r="R18" i="2"/>
  <c r="Q18" i="2"/>
  <c r="S17" i="2"/>
  <c r="R17" i="2"/>
  <c r="Q17" i="2"/>
  <c r="P17" i="2"/>
  <c r="T18" i="2" s="1"/>
  <c r="S14" i="2"/>
  <c r="R14" i="2"/>
  <c r="Q14" i="2"/>
  <c r="S13" i="2"/>
  <c r="R13" i="2"/>
  <c r="Q13" i="2"/>
  <c r="S12" i="2"/>
  <c r="R12" i="2"/>
  <c r="Q12" i="2"/>
  <c r="P12" i="2"/>
  <c r="T13" i="2" s="1"/>
  <c r="S9" i="2"/>
  <c r="R9" i="2"/>
  <c r="Q9" i="2"/>
  <c r="S8" i="2"/>
  <c r="R8" i="2"/>
  <c r="Q8" i="2"/>
  <c r="S7" i="2"/>
  <c r="R7" i="2"/>
  <c r="Q7" i="2"/>
  <c r="P7" i="2"/>
  <c r="T8" i="2" s="1"/>
  <c r="N29" i="2"/>
  <c r="M29" i="2"/>
  <c r="L29" i="2"/>
  <c r="O28" i="2"/>
  <c r="N28" i="2"/>
  <c r="M28" i="2"/>
  <c r="L28" i="2"/>
  <c r="N27" i="2"/>
  <c r="M27" i="2"/>
  <c r="L27" i="2"/>
  <c r="K27" i="2"/>
  <c r="O27" i="2" s="1"/>
  <c r="N24" i="2"/>
  <c r="M24" i="2"/>
  <c r="L24" i="2"/>
  <c r="O23" i="2"/>
  <c r="N23" i="2"/>
  <c r="M23" i="2"/>
  <c r="L23" i="2"/>
  <c r="O22" i="2"/>
  <c r="N22" i="2"/>
  <c r="M22" i="2"/>
  <c r="L22" i="2"/>
  <c r="K22" i="2"/>
  <c r="N19" i="2"/>
  <c r="M19" i="2"/>
  <c r="L19" i="2"/>
  <c r="O18" i="2"/>
  <c r="N18" i="2"/>
  <c r="M18" i="2"/>
  <c r="L18" i="2"/>
  <c r="N17" i="2"/>
  <c r="M17" i="2"/>
  <c r="L17" i="2"/>
  <c r="K17" i="2"/>
  <c r="O17" i="2" s="1"/>
  <c r="N14" i="2"/>
  <c r="M14" i="2"/>
  <c r="L14" i="2"/>
  <c r="O13" i="2"/>
  <c r="N13" i="2"/>
  <c r="M13" i="2"/>
  <c r="L13" i="2"/>
  <c r="N12" i="2"/>
  <c r="M12" i="2"/>
  <c r="L12" i="2"/>
  <c r="K12" i="2"/>
  <c r="O12" i="2" s="1"/>
  <c r="N9" i="2"/>
  <c r="M9" i="2"/>
  <c r="L9" i="2"/>
  <c r="O8" i="2"/>
  <c r="N8" i="2"/>
  <c r="M8" i="2"/>
  <c r="L8" i="2"/>
  <c r="O7" i="2"/>
  <c r="N7" i="2"/>
  <c r="M7" i="2"/>
  <c r="L7" i="2"/>
  <c r="K7" i="2"/>
  <c r="I29" i="2"/>
  <c r="H29" i="2"/>
  <c r="G29" i="2"/>
  <c r="J28" i="2"/>
  <c r="I28" i="2"/>
  <c r="H28" i="2"/>
  <c r="G28" i="2"/>
  <c r="I27" i="2"/>
  <c r="H27" i="2"/>
  <c r="G27" i="2"/>
  <c r="F27" i="2"/>
  <c r="J27" i="2" s="1"/>
  <c r="I24" i="2"/>
  <c r="H24" i="2"/>
  <c r="G24" i="2"/>
  <c r="I23" i="2"/>
  <c r="H23" i="2"/>
  <c r="G23" i="2"/>
  <c r="I22" i="2"/>
  <c r="H22" i="2"/>
  <c r="G22" i="2"/>
  <c r="F22" i="2"/>
  <c r="J22" i="2" s="1"/>
  <c r="I19" i="2"/>
  <c r="H19" i="2"/>
  <c r="G19" i="2"/>
  <c r="J18" i="2"/>
  <c r="I18" i="2"/>
  <c r="H18" i="2"/>
  <c r="G18" i="2"/>
  <c r="I17" i="2"/>
  <c r="H17" i="2"/>
  <c r="G17" i="2"/>
  <c r="F17" i="2"/>
  <c r="J17" i="2" s="1"/>
  <c r="I14" i="2"/>
  <c r="H14" i="2"/>
  <c r="G14" i="2"/>
  <c r="J13" i="2"/>
  <c r="I13" i="2"/>
  <c r="H13" i="2"/>
  <c r="G13" i="2"/>
  <c r="I12" i="2"/>
  <c r="H12" i="2"/>
  <c r="G12" i="2"/>
  <c r="F12" i="2"/>
  <c r="J12" i="2" s="1"/>
  <c r="I9" i="2"/>
  <c r="H9" i="2"/>
  <c r="G9" i="2"/>
  <c r="I8" i="2"/>
  <c r="H8" i="2"/>
  <c r="G8" i="2"/>
  <c r="I7" i="2"/>
  <c r="H7" i="2"/>
  <c r="G7" i="2"/>
  <c r="F7" i="2"/>
  <c r="X9" i="1"/>
  <c r="W9" i="1"/>
  <c r="V9" i="1"/>
  <c r="Y8" i="1"/>
  <c r="X8" i="1"/>
  <c r="W8" i="1"/>
  <c r="V8" i="1"/>
  <c r="X7" i="1"/>
  <c r="W7" i="1"/>
  <c r="V7" i="1"/>
  <c r="U7" i="1"/>
  <c r="Y7" i="1" s="1"/>
  <c r="S9" i="1"/>
  <c r="R9" i="1"/>
  <c r="Q9" i="1"/>
  <c r="T8" i="1"/>
  <c r="S8" i="1"/>
  <c r="R8" i="1"/>
  <c r="Q8" i="1"/>
  <c r="S7" i="1"/>
  <c r="R7" i="1"/>
  <c r="Q7" i="1"/>
  <c r="P7" i="1"/>
  <c r="T7" i="1" s="1"/>
  <c r="N9" i="1"/>
  <c r="M9" i="1"/>
  <c r="L9" i="1"/>
  <c r="O8" i="1"/>
  <c r="N8" i="1"/>
  <c r="M8" i="1"/>
  <c r="L8" i="1"/>
  <c r="N7" i="1"/>
  <c r="M7" i="1"/>
  <c r="L7" i="1"/>
  <c r="K7" i="1"/>
  <c r="O7" i="1" s="1"/>
  <c r="I9" i="1"/>
  <c r="H9" i="1"/>
  <c r="G9" i="1"/>
  <c r="J8" i="1"/>
  <c r="I8" i="1"/>
  <c r="H8" i="1"/>
  <c r="G8" i="1"/>
  <c r="I7" i="1"/>
  <c r="H7" i="1"/>
  <c r="G7" i="1"/>
  <c r="F7" i="1"/>
  <c r="J7" i="1" s="1"/>
  <c r="X29" i="1"/>
  <c r="W29" i="1"/>
  <c r="V29" i="1"/>
  <c r="Y28" i="1"/>
  <c r="X28" i="1"/>
  <c r="W28" i="1"/>
  <c r="V28" i="1"/>
  <c r="Y27" i="1"/>
  <c r="X27" i="1"/>
  <c r="W27" i="1"/>
  <c r="V27" i="1"/>
  <c r="U27" i="1"/>
  <c r="X24" i="1"/>
  <c r="W24" i="1"/>
  <c r="V24" i="1"/>
  <c r="Y23" i="1"/>
  <c r="X23" i="1"/>
  <c r="W23" i="1"/>
  <c r="V23" i="1"/>
  <c r="X22" i="1"/>
  <c r="W22" i="1"/>
  <c r="V22" i="1"/>
  <c r="U22" i="1"/>
  <c r="Y22" i="1" s="1"/>
  <c r="X19" i="1"/>
  <c r="W19" i="1"/>
  <c r="V19" i="1"/>
  <c r="X18" i="1"/>
  <c r="W18" i="1"/>
  <c r="V18" i="1"/>
  <c r="X17" i="1"/>
  <c r="W17" i="1"/>
  <c r="V17" i="1"/>
  <c r="U17" i="1"/>
  <c r="Y18" i="1" s="1"/>
  <c r="X14" i="1"/>
  <c r="X13" i="1"/>
  <c r="X12" i="1"/>
  <c r="W14" i="1"/>
  <c r="W13" i="1"/>
  <c r="W12" i="1"/>
  <c r="V14" i="1"/>
  <c r="V13" i="1"/>
  <c r="V12" i="1"/>
  <c r="S29" i="1"/>
  <c r="R29" i="1"/>
  <c r="Q29" i="1"/>
  <c r="T28" i="1"/>
  <c r="S28" i="1"/>
  <c r="R28" i="1"/>
  <c r="Q28" i="1"/>
  <c r="S27" i="1"/>
  <c r="R27" i="1"/>
  <c r="Q27" i="1"/>
  <c r="P27" i="1"/>
  <c r="T27" i="1" s="1"/>
  <c r="S24" i="1"/>
  <c r="R24" i="1"/>
  <c r="Q24" i="1"/>
  <c r="T23" i="1"/>
  <c r="S23" i="1"/>
  <c r="R23" i="1"/>
  <c r="Q23" i="1"/>
  <c r="S22" i="1"/>
  <c r="R22" i="1"/>
  <c r="Q22" i="1"/>
  <c r="P22" i="1"/>
  <c r="T22" i="1" s="1"/>
  <c r="S19" i="1"/>
  <c r="R19" i="1"/>
  <c r="Q19" i="1"/>
  <c r="T18" i="1"/>
  <c r="S18" i="1"/>
  <c r="R18" i="1"/>
  <c r="Q18" i="1"/>
  <c r="S17" i="1"/>
  <c r="R17" i="1"/>
  <c r="Q17" i="1"/>
  <c r="P17" i="1"/>
  <c r="T17" i="1" s="1"/>
  <c r="S14" i="1"/>
  <c r="S13" i="1"/>
  <c r="S12" i="1"/>
  <c r="R14" i="1"/>
  <c r="R13" i="1"/>
  <c r="R12" i="1"/>
  <c r="Q14" i="1"/>
  <c r="Q13" i="1"/>
  <c r="Q12" i="1"/>
  <c r="N29" i="1"/>
  <c r="M29" i="1"/>
  <c r="L29" i="1"/>
  <c r="O28" i="1"/>
  <c r="N28" i="1"/>
  <c r="M28" i="1"/>
  <c r="L28" i="1"/>
  <c r="N27" i="1"/>
  <c r="M27" i="1"/>
  <c r="L27" i="1"/>
  <c r="K27" i="1"/>
  <c r="O27" i="1" s="1"/>
  <c r="N24" i="1"/>
  <c r="M24" i="1"/>
  <c r="L24" i="1"/>
  <c r="N23" i="1"/>
  <c r="M23" i="1"/>
  <c r="L23" i="1"/>
  <c r="N22" i="1"/>
  <c r="M22" i="1"/>
  <c r="L22" i="1"/>
  <c r="K22" i="1"/>
  <c r="O23" i="1" s="1"/>
  <c r="N19" i="1"/>
  <c r="M19" i="1"/>
  <c r="L19" i="1"/>
  <c r="O18" i="1"/>
  <c r="N18" i="1"/>
  <c r="M18" i="1"/>
  <c r="L18" i="1"/>
  <c r="N17" i="1"/>
  <c r="M17" i="1"/>
  <c r="L17" i="1"/>
  <c r="K17" i="1"/>
  <c r="O17" i="1" s="1"/>
  <c r="N14" i="1"/>
  <c r="M14" i="1"/>
  <c r="L14" i="1"/>
  <c r="O12" i="1" s="1"/>
  <c r="N13" i="1"/>
  <c r="M13" i="1"/>
  <c r="L13" i="1"/>
  <c r="N12" i="1"/>
  <c r="M12" i="1"/>
  <c r="L12" i="1"/>
  <c r="I29" i="1"/>
  <c r="H29" i="1"/>
  <c r="G29" i="1"/>
  <c r="I28" i="1"/>
  <c r="H28" i="1"/>
  <c r="G28" i="1"/>
  <c r="I27" i="1"/>
  <c r="H27" i="1"/>
  <c r="G27" i="1"/>
  <c r="F27" i="1"/>
  <c r="J28" i="1" s="1"/>
  <c r="I24" i="1"/>
  <c r="H24" i="1"/>
  <c r="G24" i="1"/>
  <c r="J23" i="1"/>
  <c r="I23" i="1"/>
  <c r="H23" i="1"/>
  <c r="G23" i="1"/>
  <c r="I22" i="1"/>
  <c r="H22" i="1"/>
  <c r="G22" i="1"/>
  <c r="F22" i="1"/>
  <c r="J22" i="1" s="1"/>
  <c r="I19" i="1"/>
  <c r="H19" i="1"/>
  <c r="G19" i="1"/>
  <c r="J18" i="1"/>
  <c r="I18" i="1"/>
  <c r="H18" i="1"/>
  <c r="G18" i="1"/>
  <c r="I17" i="1"/>
  <c r="H17" i="1"/>
  <c r="G17" i="1"/>
  <c r="F17" i="1"/>
  <c r="J17" i="1" s="1"/>
  <c r="I14" i="1"/>
  <c r="H14" i="1"/>
  <c r="G14" i="1"/>
  <c r="I13" i="1"/>
  <c r="H13" i="1"/>
  <c r="G13" i="1"/>
  <c r="I12" i="1"/>
  <c r="H12" i="1"/>
  <c r="G12" i="1"/>
  <c r="Y13" i="1"/>
  <c r="Y12" i="1"/>
  <c r="T13" i="1"/>
  <c r="T12" i="1"/>
  <c r="J13" i="1"/>
  <c r="U12" i="1"/>
  <c r="P12" i="1"/>
  <c r="K12" i="1"/>
  <c r="F12" i="1"/>
  <c r="Y22" i="2" l="1"/>
  <c r="Y7" i="2"/>
  <c r="T17" i="2"/>
  <c r="T12" i="2"/>
  <c r="T7" i="2"/>
  <c r="J23" i="2"/>
  <c r="Y17" i="1"/>
  <c r="O13" i="1"/>
  <c r="O22" i="1"/>
  <c r="J27" i="1"/>
  <c r="J12" i="1"/>
</calcChain>
</file>

<file path=xl/sharedStrings.xml><?xml version="1.0" encoding="utf-8"?>
<sst xmlns="http://schemas.openxmlformats.org/spreadsheetml/2006/main" count="30" uniqueCount="11">
  <si>
    <t>x1</t>
  </si>
  <si>
    <t>x2</t>
  </si>
  <si>
    <t>x3</t>
  </si>
  <si>
    <t>x4</t>
  </si>
  <si>
    <t>b</t>
  </si>
  <si>
    <t>D</t>
  </si>
  <si>
    <t>D1</t>
  </si>
  <si>
    <t>D2</t>
  </si>
  <si>
    <t>D3</t>
  </si>
  <si>
    <t>D4</t>
  </si>
  <si>
    <t>проверка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</si>
</sst>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theme="1"/>
      <name val="Symbol"/>
      <family val="1"/>
      <charset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13">
    <xf numFmtId="0" fontId="0" fillId="0" borderId="0" xfId="0"/>
    <xf numFmtId="2" fontId="0" fillId="0" borderId="1" xfId="0" applyNumberFormat="1" applyBorder="1"/>
    <xf numFmtId="2" fontId="0" fillId="0" borderId="0" xfId="0" applyNumberFormat="1"/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2" fillId="2" borderId="1" xfId="1" applyNumberFormat="1" applyBorder="1" applyAlignment="1">
      <alignment horizontal="right"/>
    </xf>
    <xf numFmtId="2" fontId="4" fillId="4" borderId="1" xfId="3" applyNumberFormat="1" applyBorder="1"/>
    <xf numFmtId="2" fontId="3" fillId="3" borderId="0" xfId="2" applyNumberFormat="1"/>
    <xf numFmtId="0" fontId="5" fillId="0" borderId="0" xfId="0" applyFont="1"/>
    <xf numFmtId="2" fontId="1" fillId="0" borderId="1" xfId="0" applyNumberFormat="1" applyFont="1" applyBorder="1"/>
    <xf numFmtId="2" fontId="4" fillId="4" borderId="2" xfId="3" applyNumberFormat="1" applyBorder="1" applyAlignment="1">
      <alignment horizontal="right"/>
    </xf>
    <xf numFmtId="2" fontId="4" fillId="4" borderId="2" xfId="3" applyNumberFormat="1" applyBorder="1"/>
    <xf numFmtId="2" fontId="2" fillId="2" borderId="0" xfId="1" applyNumberFormat="1"/>
  </cellXfs>
  <cellStyles count="4">
    <cellStyle name="Нейтральный" xfId="3" builtinId="28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"/>
  <sheetViews>
    <sheetView tabSelected="1" zoomScaleNormal="100" workbookViewId="0">
      <selection activeCell="O2" sqref="O2"/>
    </sheetView>
  </sheetViews>
  <sheetFormatPr defaultRowHeight="15" x14ac:dyDescent="0.25"/>
  <cols>
    <col min="8" max="8" width="9.5703125" customWidth="1"/>
    <col min="13" max="13" width="10.140625" customWidth="1"/>
    <col min="14" max="14" width="10.5703125" style="2" customWidth="1"/>
    <col min="15" max="15" width="11.140625" customWidth="1"/>
    <col min="19" max="19" width="9.5703125" customWidth="1"/>
    <col min="20" max="20" width="11.28515625" customWidth="1"/>
    <col min="25" max="25" width="11.7109375" customWidth="1"/>
  </cols>
  <sheetData>
    <row r="1" spans="1:2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8" t="s">
        <v>5</v>
      </c>
      <c r="H1" s="2">
        <f>J7-O7+T7-Y7</f>
        <v>60936.329600000012</v>
      </c>
      <c r="I1" s="2">
        <f>MDETERM(A7:D10)</f>
        <v>60936.329599999997</v>
      </c>
      <c r="K1" t="s">
        <v>0</v>
      </c>
      <c r="L1" s="2">
        <f>H2/$H$1</f>
        <v>1.0926179101538795</v>
      </c>
      <c r="M1" t="s">
        <v>10</v>
      </c>
      <c r="N1" s="12">
        <f>A2*$L$1+B2*$L$2+C2*$L$3+D2*$L$4</f>
        <v>2.2300000000000018</v>
      </c>
    </row>
    <row r="2" spans="1:25" x14ac:dyDescent="0.25">
      <c r="A2" s="4">
        <v>6.4</v>
      </c>
      <c r="B2" s="4">
        <v>7.2</v>
      </c>
      <c r="C2" s="4">
        <v>-8.3000000000000007</v>
      </c>
      <c r="D2" s="4">
        <v>42</v>
      </c>
      <c r="E2" s="5">
        <v>2.23</v>
      </c>
      <c r="G2" s="8" t="s">
        <v>6</v>
      </c>
      <c r="H2" s="2">
        <f>J12-O12+T12-Y12</f>
        <v>66580.125100000005</v>
      </c>
      <c r="I2" s="2">
        <f>MDETERM(A12:D15)</f>
        <v>66580.12509999999</v>
      </c>
      <c r="K2" t="s">
        <v>1</v>
      </c>
      <c r="L2" s="2">
        <f t="shared" ref="L2:L4" si="0">H3/$H$1</f>
        <v>0.35510637056814132</v>
      </c>
      <c r="N2" s="12">
        <f t="shared" ref="N2:N4" si="1">A3*$L$1+B3*$L$2+C3*$L$3+D3*$L$4</f>
        <v>17.099999999999998</v>
      </c>
    </row>
    <row r="3" spans="1:25" x14ac:dyDescent="0.25">
      <c r="A3" s="4">
        <v>5.8</v>
      </c>
      <c r="B3" s="4">
        <v>-8.3000000000000007</v>
      </c>
      <c r="C3" s="4">
        <v>14.3</v>
      </c>
      <c r="D3" s="4">
        <v>-6.2</v>
      </c>
      <c r="E3" s="5">
        <v>17.100000000000001</v>
      </c>
      <c r="G3" s="8" t="s">
        <v>7</v>
      </c>
      <c r="H3" s="2">
        <f>J17-O17+T17-Y17</f>
        <v>21638.878840000001</v>
      </c>
      <c r="I3" s="2">
        <f>MDETERM(A17:D20)</f>
        <v>21638.878840000012</v>
      </c>
      <c r="K3" t="s">
        <v>2</v>
      </c>
      <c r="L3" s="2">
        <f t="shared" si="0"/>
        <v>0.96596010272335142</v>
      </c>
      <c r="N3" s="12">
        <f t="shared" si="1"/>
        <v>-5.4000000000000039</v>
      </c>
    </row>
    <row r="4" spans="1:25" x14ac:dyDescent="0.25">
      <c r="A4" s="4">
        <v>8.6</v>
      </c>
      <c r="B4" s="4">
        <v>7.7</v>
      </c>
      <c r="C4" s="4">
        <v>-18.3</v>
      </c>
      <c r="D4" s="4">
        <v>8.8000000000000007</v>
      </c>
      <c r="E4" s="5">
        <v>-5.4</v>
      </c>
      <c r="G4" s="8" t="s">
        <v>8</v>
      </c>
      <c r="H4" s="2">
        <f>J22-O22+T22-Y22</f>
        <v>58862.063200000011</v>
      </c>
      <c r="I4" s="2">
        <f>MDETERM(A22:D25)</f>
        <v>58862.063200000004</v>
      </c>
      <c r="K4" t="s">
        <v>3</v>
      </c>
      <c r="L4" s="2">
        <f t="shared" si="0"/>
        <v>1.6617818084008841E-2</v>
      </c>
      <c r="N4" s="12">
        <f t="shared" si="1"/>
        <v>6.4999999999999973</v>
      </c>
    </row>
    <row r="5" spans="1:25" x14ac:dyDescent="0.25">
      <c r="A5" s="4">
        <v>13.2</v>
      </c>
      <c r="B5" s="4">
        <v>-5.2</v>
      </c>
      <c r="C5" s="4">
        <v>-6.5</v>
      </c>
      <c r="D5" s="4">
        <v>12.2</v>
      </c>
      <c r="E5" s="5">
        <v>6.5</v>
      </c>
      <c r="G5" s="8" t="s">
        <v>9</v>
      </c>
      <c r="H5" s="2">
        <f>J27-O27+T27-Y27</f>
        <v>1012.6288400000035</v>
      </c>
      <c r="I5" s="2">
        <f>MDETERM(A27:D30)</f>
        <v>1012.6288399999922</v>
      </c>
      <c r="N5"/>
    </row>
    <row r="7" spans="1:25" x14ac:dyDescent="0.25">
      <c r="A7" s="4">
        <v>6.4</v>
      </c>
      <c r="B7" s="4">
        <v>7.2</v>
      </c>
      <c r="C7" s="4">
        <v>-8.3000000000000007</v>
      </c>
      <c r="D7" s="4">
        <v>42</v>
      </c>
      <c r="F7" s="6">
        <f>A7</f>
        <v>6.4</v>
      </c>
      <c r="G7" s="4">
        <f>B8</f>
        <v>-8.3000000000000007</v>
      </c>
      <c r="H7" s="4">
        <f>C8</f>
        <v>14.3</v>
      </c>
      <c r="I7" s="4">
        <f>D8</f>
        <v>-6.2</v>
      </c>
      <c r="J7" s="7">
        <f>F7*(G7*(H8*I9-H9*I8)-H7*(G8*I9-G9*I8)+I7*(G8*H9-G9*H8))</f>
        <v>1797.6960000000015</v>
      </c>
      <c r="K7" s="10">
        <f>B7</f>
        <v>7.2</v>
      </c>
      <c r="L7" s="1">
        <f>A8</f>
        <v>5.8</v>
      </c>
      <c r="M7" s="4">
        <f>C8</f>
        <v>14.3</v>
      </c>
      <c r="N7" s="4">
        <f>D8</f>
        <v>-6.2</v>
      </c>
      <c r="O7" s="7">
        <f>K7*(L7*(M8*N9-M9*N8)-M7*(L8*N9-L9*N8)+N7*(L8*M9-L9*M8))</f>
        <v>-14065.257600000001</v>
      </c>
      <c r="P7" s="6">
        <f>C7</f>
        <v>-8.3000000000000007</v>
      </c>
      <c r="Q7" s="9">
        <f>A8</f>
        <v>5.8</v>
      </c>
      <c r="R7" s="4">
        <f>B8</f>
        <v>-8.3000000000000007</v>
      </c>
      <c r="S7" s="4">
        <f>D8</f>
        <v>-6.2</v>
      </c>
      <c r="T7" s="7">
        <f>P7*(Q7*(R8*S9-R9*S8)-R7*(Q8*S9-Q9*S8)+S7*(Q8*R9-Q9*R8))</f>
        <v>-13482.520000000002</v>
      </c>
      <c r="U7" s="11">
        <f>D7</f>
        <v>42</v>
      </c>
      <c r="V7" s="1">
        <f>A8</f>
        <v>5.8</v>
      </c>
      <c r="W7" s="4">
        <f>B8</f>
        <v>-8.3000000000000007</v>
      </c>
      <c r="X7" s="4">
        <f>C8</f>
        <v>14.3</v>
      </c>
      <c r="Y7" s="7">
        <f>U7*(V7*(W8*X9-W9*X8)-W7*(V8*X9-V9*X8)+X7*(V8*W9-V9*W8))</f>
        <v>-58555.896000000015</v>
      </c>
    </row>
    <row r="8" spans="1:25" x14ac:dyDescent="0.25">
      <c r="A8" s="4">
        <v>5.8</v>
      </c>
      <c r="B8" s="4">
        <v>-8.3000000000000007</v>
      </c>
      <c r="C8" s="4">
        <v>14.3</v>
      </c>
      <c r="D8" s="4">
        <v>-6.2</v>
      </c>
      <c r="G8" s="4">
        <f>B9</f>
        <v>7.7</v>
      </c>
      <c r="H8" s="4">
        <f>C9</f>
        <v>-18.3</v>
      </c>
      <c r="I8" s="4">
        <f>D9</f>
        <v>8.8000000000000007</v>
      </c>
      <c r="J8" s="2">
        <f>MDETERM(G7:I9)*F7</f>
        <v>1797.695999999999</v>
      </c>
      <c r="K8" s="2"/>
      <c r="L8" s="1">
        <f>A9</f>
        <v>8.6</v>
      </c>
      <c r="M8" s="4">
        <f>C9</f>
        <v>-18.3</v>
      </c>
      <c r="N8" s="4">
        <f>D9</f>
        <v>8.8000000000000007</v>
      </c>
      <c r="O8" s="2">
        <f>MDETERM(L7:N9)*K7</f>
        <v>-14065.257599999997</v>
      </c>
      <c r="Q8" s="9">
        <f>A9</f>
        <v>8.6</v>
      </c>
      <c r="R8" s="4">
        <f>B9</f>
        <v>7.7</v>
      </c>
      <c r="S8" s="4">
        <f>D9</f>
        <v>8.8000000000000007</v>
      </c>
      <c r="T8" s="2">
        <f>MDETERM(Q7:S9)*P7</f>
        <v>-13482.52</v>
      </c>
      <c r="V8" s="1">
        <f>A9</f>
        <v>8.6</v>
      </c>
      <c r="W8" s="4">
        <f>B9</f>
        <v>7.7</v>
      </c>
      <c r="X8" s="4">
        <f>C9</f>
        <v>-18.3</v>
      </c>
      <c r="Y8" s="2">
        <f>MDETERM(V7:X9)*U7</f>
        <v>-58555.895999999993</v>
      </c>
    </row>
    <row r="9" spans="1:25" x14ac:dyDescent="0.25">
      <c r="A9" s="4">
        <v>8.6</v>
      </c>
      <c r="B9" s="4">
        <v>7.7</v>
      </c>
      <c r="C9" s="4">
        <v>-18.3</v>
      </c>
      <c r="D9" s="4">
        <v>8.8000000000000007</v>
      </c>
      <c r="G9" s="4">
        <f>B10</f>
        <v>-5.2</v>
      </c>
      <c r="H9" s="4">
        <f>C10</f>
        <v>-6.5</v>
      </c>
      <c r="I9" s="4">
        <f>D10</f>
        <v>12.2</v>
      </c>
      <c r="K9" s="2"/>
      <c r="L9" s="1">
        <f>A10</f>
        <v>13.2</v>
      </c>
      <c r="M9" s="4">
        <f>C10</f>
        <v>-6.5</v>
      </c>
      <c r="N9" s="4">
        <f>D10</f>
        <v>12.2</v>
      </c>
      <c r="Q9" s="9">
        <f>A10</f>
        <v>13.2</v>
      </c>
      <c r="R9" s="4">
        <f>B10</f>
        <v>-5.2</v>
      </c>
      <c r="S9" s="4">
        <f>D10</f>
        <v>12.2</v>
      </c>
      <c r="V9" s="1">
        <f>A10</f>
        <v>13.2</v>
      </c>
      <c r="W9" s="4">
        <f>B10</f>
        <v>-5.2</v>
      </c>
      <c r="X9" s="4">
        <f>C10</f>
        <v>-6.5</v>
      </c>
    </row>
    <row r="10" spans="1:25" x14ac:dyDescent="0.25">
      <c r="A10" s="4">
        <v>13.2</v>
      </c>
      <c r="B10" s="4">
        <v>-5.2</v>
      </c>
      <c r="C10" s="4">
        <v>-6.5</v>
      </c>
      <c r="D10" s="4">
        <v>12.2</v>
      </c>
    </row>
    <row r="12" spans="1:25" x14ac:dyDescent="0.25">
      <c r="A12" s="5">
        <v>2.23</v>
      </c>
      <c r="B12" s="4">
        <v>7.2</v>
      </c>
      <c r="C12" s="4">
        <v>-8.3000000000000007</v>
      </c>
      <c r="D12" s="4">
        <v>42</v>
      </c>
      <c r="F12" s="6">
        <f>A12</f>
        <v>2.23</v>
      </c>
      <c r="G12" s="4">
        <f>B13</f>
        <v>-8.3000000000000007</v>
      </c>
      <c r="H12" s="4">
        <f>C13</f>
        <v>14.3</v>
      </c>
      <c r="I12" s="4">
        <f>D13</f>
        <v>-6.2</v>
      </c>
      <c r="J12" s="7">
        <f>F12*(G12*(H13*I14-H14*I13)-H12*(G13*I14-G14*I13)+I12*(G13*H14-G14*H13))</f>
        <v>626.38470000000052</v>
      </c>
      <c r="K12" s="10">
        <f>B12</f>
        <v>7.2</v>
      </c>
      <c r="L12" s="1">
        <f>A13</f>
        <v>17.100000000000001</v>
      </c>
      <c r="M12" s="4">
        <f>C13</f>
        <v>14.3</v>
      </c>
      <c r="N12" s="4">
        <f>D13</f>
        <v>-6.2</v>
      </c>
      <c r="O12" s="7">
        <f>K12*(L12*(M13*N14-M14*N13)-M12*(L13*N14-L14*N13)+N12*(L13*M14-L14*M13))</f>
        <v>-14649.782400000002</v>
      </c>
      <c r="P12" s="6">
        <f>C12</f>
        <v>-8.3000000000000007</v>
      </c>
      <c r="Q12" s="9">
        <f>A13</f>
        <v>17.100000000000001</v>
      </c>
      <c r="R12" s="4">
        <f>B13</f>
        <v>-8.3000000000000007</v>
      </c>
      <c r="S12" s="4">
        <f>D13</f>
        <v>-6.2</v>
      </c>
      <c r="T12" s="7">
        <f>P12*(Q12*(R13*S14-R14*S13)-R12*(Q13*S14-Q14*S13)+S12*(Q13*R14-Q14*R13))</f>
        <v>-12479.215999999999</v>
      </c>
      <c r="U12" s="11">
        <f>D12</f>
        <v>42</v>
      </c>
      <c r="V12" s="1">
        <f>A13</f>
        <v>17.100000000000001</v>
      </c>
      <c r="W12" s="4">
        <f>B13</f>
        <v>-8.3000000000000007</v>
      </c>
      <c r="X12" s="4">
        <f>C13</f>
        <v>14.3</v>
      </c>
      <c r="Y12" s="7">
        <f>U12*(V12*(W13*X14-W14*X13)-W12*(V13*X14-V14*X13)+X12*(V13*W14-V14*W13))</f>
        <v>-63783.174000000006</v>
      </c>
    </row>
    <row r="13" spans="1:25" x14ac:dyDescent="0.25">
      <c r="A13" s="5">
        <v>17.100000000000001</v>
      </c>
      <c r="B13" s="4">
        <v>-8.3000000000000007</v>
      </c>
      <c r="C13" s="4">
        <v>14.3</v>
      </c>
      <c r="D13" s="4">
        <v>-6.2</v>
      </c>
      <c r="G13" s="4">
        <f>B14</f>
        <v>7.7</v>
      </c>
      <c r="H13" s="4">
        <f>C14</f>
        <v>-18.3</v>
      </c>
      <c r="I13" s="4">
        <f>D14</f>
        <v>8.8000000000000007</v>
      </c>
      <c r="J13" s="2">
        <f>MDETERM(G12:I14)*F12</f>
        <v>626.38469999999961</v>
      </c>
      <c r="K13" s="2"/>
      <c r="L13" s="1">
        <f>A14</f>
        <v>-5.4</v>
      </c>
      <c r="M13" s="4">
        <f>C14</f>
        <v>-18.3</v>
      </c>
      <c r="N13" s="4">
        <f>D14</f>
        <v>8.8000000000000007</v>
      </c>
      <c r="O13" s="2">
        <f>MDETERM(L12:N14)*K12</f>
        <v>-14649.782399999998</v>
      </c>
      <c r="Q13" s="9">
        <f>A14</f>
        <v>-5.4</v>
      </c>
      <c r="R13" s="4">
        <f>B14</f>
        <v>7.7</v>
      </c>
      <c r="S13" s="4">
        <f>D14</f>
        <v>8.8000000000000007</v>
      </c>
      <c r="T13" s="2">
        <f>MDETERM(Q12:S14)*P12</f>
        <v>-12479.216000000002</v>
      </c>
      <c r="V13" s="1">
        <f>A14</f>
        <v>-5.4</v>
      </c>
      <c r="W13" s="4">
        <f>B14</f>
        <v>7.7</v>
      </c>
      <c r="X13" s="4">
        <f>C14</f>
        <v>-18.3</v>
      </c>
      <c r="Y13" s="2">
        <f>MDETERM(V12:X14)*U12</f>
        <v>-63783.173999999999</v>
      </c>
    </row>
    <row r="14" spans="1:25" x14ac:dyDescent="0.25">
      <c r="A14" s="5">
        <v>-5.4</v>
      </c>
      <c r="B14" s="4">
        <v>7.7</v>
      </c>
      <c r="C14" s="4">
        <v>-18.3</v>
      </c>
      <c r="D14" s="4">
        <v>8.8000000000000007</v>
      </c>
      <c r="G14" s="4">
        <f>B15</f>
        <v>-5.2</v>
      </c>
      <c r="H14" s="4">
        <f>C15</f>
        <v>-6.5</v>
      </c>
      <c r="I14" s="4">
        <f>D15</f>
        <v>12.2</v>
      </c>
      <c r="K14" s="2"/>
      <c r="L14" s="1">
        <f>A15</f>
        <v>6.5</v>
      </c>
      <c r="M14" s="4">
        <f>C15</f>
        <v>-6.5</v>
      </c>
      <c r="N14" s="4">
        <f>D15</f>
        <v>12.2</v>
      </c>
      <c r="Q14" s="9">
        <f>A15</f>
        <v>6.5</v>
      </c>
      <c r="R14" s="4">
        <f>B15</f>
        <v>-5.2</v>
      </c>
      <c r="S14" s="4">
        <f>D15</f>
        <v>12.2</v>
      </c>
      <c r="V14" s="1">
        <f>A15</f>
        <v>6.5</v>
      </c>
      <c r="W14" s="4">
        <f>B15</f>
        <v>-5.2</v>
      </c>
      <c r="X14" s="4">
        <f>C15</f>
        <v>-6.5</v>
      </c>
    </row>
    <row r="15" spans="1:25" x14ac:dyDescent="0.25">
      <c r="A15" s="5">
        <v>6.5</v>
      </c>
      <c r="B15" s="4">
        <v>-5.2</v>
      </c>
      <c r="C15" s="4">
        <v>-6.5</v>
      </c>
      <c r="D15" s="4">
        <v>12.2</v>
      </c>
    </row>
    <row r="17" spans="1:25" x14ac:dyDescent="0.25">
      <c r="A17" s="4">
        <v>6.4</v>
      </c>
      <c r="B17" s="5">
        <v>2.23</v>
      </c>
      <c r="C17" s="4">
        <v>-8.3000000000000007</v>
      </c>
      <c r="D17" s="4">
        <v>42</v>
      </c>
      <c r="F17" s="6">
        <f>A17</f>
        <v>6.4</v>
      </c>
      <c r="G17" s="4">
        <f>B18</f>
        <v>17.100000000000001</v>
      </c>
      <c r="H17" s="4">
        <f>C18</f>
        <v>14.3</v>
      </c>
      <c r="I17" s="4">
        <f>D18</f>
        <v>-6.2</v>
      </c>
      <c r="J17" s="7">
        <f>F17*(G17*(H18*I19-H19*I18)-H17*(G18*I19-G19*I18)+I17*(G18*H19-G19*H18))</f>
        <v>-13022.028800000002</v>
      </c>
      <c r="K17" s="10">
        <f>B17</f>
        <v>2.23</v>
      </c>
      <c r="L17" s="1">
        <f>A18</f>
        <v>5.8</v>
      </c>
      <c r="M17" s="4">
        <f>C18</f>
        <v>14.3</v>
      </c>
      <c r="N17" s="4">
        <f>D18</f>
        <v>-6.2</v>
      </c>
      <c r="O17" s="7">
        <f>K17*(L17*(M18*N19-M19*N18)-M17*(L18*N19-L19*N18)+N17*(L18*M19-L19*M18))</f>
        <v>-4356.3228399999998</v>
      </c>
      <c r="P17" s="6">
        <f>C17</f>
        <v>-8.3000000000000007</v>
      </c>
      <c r="Q17" s="9">
        <f>A18</f>
        <v>5.8</v>
      </c>
      <c r="R17" s="4">
        <f>B18</f>
        <v>17.100000000000001</v>
      </c>
      <c r="S17" s="4">
        <f>D18</f>
        <v>-6.2</v>
      </c>
      <c r="T17" s="7">
        <f>P17*(Q17*(R18*S19-R19*S18)-R17*(Q18*S19-Q19*S18)+S17*(Q18*R19-Q19*R18))</f>
        <v>10874.460800000001</v>
      </c>
      <c r="U17" s="11">
        <f>D17</f>
        <v>42</v>
      </c>
      <c r="V17" s="1">
        <f>A18</f>
        <v>5.8</v>
      </c>
      <c r="W17" s="4">
        <f>B18</f>
        <v>17.100000000000001</v>
      </c>
      <c r="X17" s="4">
        <f>C18</f>
        <v>14.3</v>
      </c>
      <c r="Y17" s="7">
        <f>U17*(V17*(W18*X19-W19*X18)-W17*(V18*X19-V19*X18)+X17*(V18*W19-V19*W18))</f>
        <v>-19430.124000000003</v>
      </c>
    </row>
    <row r="18" spans="1:25" x14ac:dyDescent="0.25">
      <c r="A18" s="4">
        <v>5.8</v>
      </c>
      <c r="B18" s="5">
        <v>17.100000000000001</v>
      </c>
      <c r="C18" s="4">
        <v>14.3</v>
      </c>
      <c r="D18" s="4">
        <v>-6.2</v>
      </c>
      <c r="G18" s="4">
        <f>B19</f>
        <v>-5.4</v>
      </c>
      <c r="H18" s="4">
        <f>C19</f>
        <v>-18.3</v>
      </c>
      <c r="I18" s="4">
        <f>D19</f>
        <v>8.8000000000000007</v>
      </c>
      <c r="J18" s="2">
        <f>MDETERM(G17:I19)*F17</f>
        <v>-13022.0288</v>
      </c>
      <c r="K18" s="2"/>
      <c r="L18" s="1">
        <f>A19</f>
        <v>8.6</v>
      </c>
      <c r="M18" s="4">
        <f>C19</f>
        <v>-18.3</v>
      </c>
      <c r="N18" s="4">
        <f>D19</f>
        <v>8.8000000000000007</v>
      </c>
      <c r="O18" s="2">
        <f>MDETERM(L17:N19)*K17</f>
        <v>-4356.3228399999989</v>
      </c>
      <c r="Q18" s="9">
        <f>A19</f>
        <v>8.6</v>
      </c>
      <c r="R18" s="4">
        <f>B19</f>
        <v>-5.4</v>
      </c>
      <c r="S18" s="4">
        <f>D19</f>
        <v>8.8000000000000007</v>
      </c>
      <c r="T18" s="2">
        <f>MDETERM(Q17:S19)*P17</f>
        <v>10874.460799999997</v>
      </c>
      <c r="V18" s="1">
        <f>A19</f>
        <v>8.6</v>
      </c>
      <c r="W18" s="4">
        <f>B19</f>
        <v>-5.4</v>
      </c>
      <c r="X18" s="4">
        <f>C19</f>
        <v>-18.3</v>
      </c>
      <c r="Y18" s="2">
        <f>MDETERM(V17:X19)*U17</f>
        <v>-19430.124000000014</v>
      </c>
    </row>
    <row r="19" spans="1:25" x14ac:dyDescent="0.25">
      <c r="A19" s="4">
        <v>8.6</v>
      </c>
      <c r="B19" s="5">
        <v>-5.4</v>
      </c>
      <c r="C19" s="4">
        <v>-18.3</v>
      </c>
      <c r="D19" s="4">
        <v>8.8000000000000007</v>
      </c>
      <c r="G19" s="4">
        <f>B20</f>
        <v>6.5</v>
      </c>
      <c r="H19" s="4">
        <f>C20</f>
        <v>-6.5</v>
      </c>
      <c r="I19" s="4">
        <f>D20</f>
        <v>12.2</v>
      </c>
      <c r="K19" s="2"/>
      <c r="L19" s="1">
        <f>A20</f>
        <v>13.2</v>
      </c>
      <c r="M19" s="4">
        <f>C20</f>
        <v>-6.5</v>
      </c>
      <c r="N19" s="4">
        <f>D20</f>
        <v>12.2</v>
      </c>
      <c r="Q19" s="9">
        <f>A20</f>
        <v>13.2</v>
      </c>
      <c r="R19" s="4">
        <f>B20</f>
        <v>6.5</v>
      </c>
      <c r="S19" s="4">
        <f>D20</f>
        <v>12.2</v>
      </c>
      <c r="V19" s="1">
        <f>A20</f>
        <v>13.2</v>
      </c>
      <c r="W19" s="4">
        <f>B20</f>
        <v>6.5</v>
      </c>
      <c r="X19" s="4">
        <f>C20</f>
        <v>-6.5</v>
      </c>
    </row>
    <row r="20" spans="1:25" x14ac:dyDescent="0.25">
      <c r="A20" s="4">
        <v>13.2</v>
      </c>
      <c r="B20" s="5">
        <v>6.5</v>
      </c>
      <c r="C20" s="4">
        <v>-6.5</v>
      </c>
      <c r="D20" s="4">
        <v>12.2</v>
      </c>
    </row>
    <row r="22" spans="1:25" x14ac:dyDescent="0.25">
      <c r="A22" s="4">
        <v>6.4</v>
      </c>
      <c r="B22" s="4">
        <v>7.2</v>
      </c>
      <c r="C22" s="5">
        <v>2.23</v>
      </c>
      <c r="D22" s="4">
        <v>42</v>
      </c>
      <c r="F22" s="6">
        <f>A22</f>
        <v>6.4</v>
      </c>
      <c r="G22" s="4">
        <f>B23</f>
        <v>-8.3000000000000007</v>
      </c>
      <c r="H22" s="4">
        <f>C23</f>
        <v>17.100000000000001</v>
      </c>
      <c r="I22" s="4">
        <f>D23</f>
        <v>-6.2</v>
      </c>
      <c r="J22" s="7">
        <f>F22*(G22*(H23*I24-H24*I23)-H22*(G23*I24-G24*I23)+I22*(G23*H24-G24*H23))</f>
        <v>-9622.5279999999984</v>
      </c>
      <c r="K22" s="10">
        <f>B22</f>
        <v>7.2</v>
      </c>
      <c r="L22" s="1">
        <f>A23</f>
        <v>5.8</v>
      </c>
      <c r="M22" s="4">
        <f>C23</f>
        <v>17.100000000000001</v>
      </c>
      <c r="N22" s="4">
        <f>D23</f>
        <v>-6.2</v>
      </c>
      <c r="O22" s="7">
        <f>K22*(L22*(M23*N24-M24*N23)-M22*(L23*N24-L24*N23)+N22*(L23*M24-L24*M23))</f>
        <v>-9433.2672000000002</v>
      </c>
      <c r="P22" s="6">
        <f>C22</f>
        <v>2.23</v>
      </c>
      <c r="Q22" s="9">
        <f>A23</f>
        <v>5.8</v>
      </c>
      <c r="R22" s="4">
        <f>B23</f>
        <v>-8.3000000000000007</v>
      </c>
      <c r="S22" s="4">
        <f>D23</f>
        <v>-6.2</v>
      </c>
      <c r="T22" s="7">
        <f>P22*(Q22*(R23*S24-R24*S23)-R22*(Q23*S24-Q24*S23)+S22*(Q23*R24-Q24*R23))</f>
        <v>3622.4120000000003</v>
      </c>
      <c r="U22" s="11">
        <f>D22</f>
        <v>42</v>
      </c>
      <c r="V22" s="1">
        <f>A23</f>
        <v>5.8</v>
      </c>
      <c r="W22" s="4">
        <f>B23</f>
        <v>-8.3000000000000007</v>
      </c>
      <c r="X22" s="4">
        <f>C23</f>
        <v>17.100000000000001</v>
      </c>
      <c r="Y22" s="7">
        <f>U22*(V22*(W23*X24-W24*X23)-W22*(V23*X24-V24*X23)+X22*(V23*W24-V24*W23))</f>
        <v>-55428.912000000011</v>
      </c>
    </row>
    <row r="23" spans="1:25" x14ac:dyDescent="0.25">
      <c r="A23" s="4">
        <v>5.8</v>
      </c>
      <c r="B23" s="4">
        <v>-8.3000000000000007</v>
      </c>
      <c r="C23" s="5">
        <v>17.100000000000001</v>
      </c>
      <c r="D23" s="4">
        <v>-6.2</v>
      </c>
      <c r="G23" s="4">
        <f>B24</f>
        <v>7.7</v>
      </c>
      <c r="H23" s="4">
        <f>C24</f>
        <v>-5.4</v>
      </c>
      <c r="I23" s="4">
        <f>D24</f>
        <v>8.8000000000000007</v>
      </c>
      <c r="J23" s="2">
        <f>MDETERM(G22:I24)*F22</f>
        <v>-9622.5280000000039</v>
      </c>
      <c r="K23" s="2"/>
      <c r="L23" s="1">
        <f>A24</f>
        <v>8.6</v>
      </c>
      <c r="M23" s="4">
        <f>C24</f>
        <v>-5.4</v>
      </c>
      <c r="N23" s="4">
        <f>D24</f>
        <v>8.8000000000000007</v>
      </c>
      <c r="O23" s="2">
        <f>MDETERM(L22:N24)*K22</f>
        <v>-9433.2671999999966</v>
      </c>
      <c r="Q23" s="9">
        <f>A24</f>
        <v>8.6</v>
      </c>
      <c r="R23" s="4">
        <f>B24</f>
        <v>7.7</v>
      </c>
      <c r="S23" s="4">
        <f>D24</f>
        <v>8.8000000000000007</v>
      </c>
      <c r="T23" s="2">
        <f>MDETERM(Q22:S24)*P22</f>
        <v>3622.4119999999998</v>
      </c>
      <c r="V23" s="1">
        <f>A24</f>
        <v>8.6</v>
      </c>
      <c r="W23" s="4">
        <f>B24</f>
        <v>7.7</v>
      </c>
      <c r="X23" s="4">
        <f>C24</f>
        <v>-5.4</v>
      </c>
      <c r="Y23" s="2">
        <f>MDETERM(V22:X24)*U22</f>
        <v>-55428.912000000011</v>
      </c>
    </row>
    <row r="24" spans="1:25" x14ac:dyDescent="0.25">
      <c r="A24" s="4">
        <v>8.6</v>
      </c>
      <c r="B24" s="4">
        <v>7.7</v>
      </c>
      <c r="C24" s="5">
        <v>-5.4</v>
      </c>
      <c r="D24" s="4">
        <v>8.8000000000000007</v>
      </c>
      <c r="G24" s="4">
        <f>B25</f>
        <v>-5.2</v>
      </c>
      <c r="H24" s="4">
        <f>C25</f>
        <v>6.5</v>
      </c>
      <c r="I24" s="4">
        <f>D25</f>
        <v>12.2</v>
      </c>
      <c r="K24" s="2"/>
      <c r="L24" s="1">
        <f>A25</f>
        <v>13.2</v>
      </c>
      <c r="M24" s="4">
        <f>C25</f>
        <v>6.5</v>
      </c>
      <c r="N24" s="4">
        <f>D25</f>
        <v>12.2</v>
      </c>
      <c r="Q24" s="9">
        <f>A25</f>
        <v>13.2</v>
      </c>
      <c r="R24" s="4">
        <f>B25</f>
        <v>-5.2</v>
      </c>
      <c r="S24" s="4">
        <f>D25</f>
        <v>12.2</v>
      </c>
      <c r="V24" s="1">
        <f>A25</f>
        <v>13.2</v>
      </c>
      <c r="W24" s="4">
        <f>B25</f>
        <v>-5.2</v>
      </c>
      <c r="X24" s="4">
        <f>C25</f>
        <v>6.5</v>
      </c>
    </row>
    <row r="25" spans="1:25" x14ac:dyDescent="0.25">
      <c r="A25" s="4">
        <v>13.2</v>
      </c>
      <c r="B25" s="4">
        <v>-5.2</v>
      </c>
      <c r="C25" s="5">
        <v>6.5</v>
      </c>
      <c r="D25" s="4">
        <v>12.2</v>
      </c>
    </row>
    <row r="27" spans="1:25" x14ac:dyDescent="0.25">
      <c r="A27" s="4">
        <v>6.4</v>
      </c>
      <c r="B27" s="4">
        <v>7.2</v>
      </c>
      <c r="C27" s="4">
        <v>-8.3000000000000007</v>
      </c>
      <c r="D27" s="5">
        <v>2.23</v>
      </c>
      <c r="F27" s="6">
        <f>A27</f>
        <v>6.4</v>
      </c>
      <c r="G27" s="4">
        <f>B28</f>
        <v>-8.3000000000000007</v>
      </c>
      <c r="H27" s="4">
        <f>C28</f>
        <v>14.3</v>
      </c>
      <c r="I27" s="4">
        <f>D28</f>
        <v>17.100000000000001</v>
      </c>
      <c r="J27" s="7">
        <f>F27*(G27*(H28*I29-H29*I28)-H27*(G28*I29-G29*I28)+I27*(G28*H29-G29*H28))</f>
        <v>-9719.3408000000018</v>
      </c>
      <c r="K27" s="10">
        <f>B27</f>
        <v>7.2</v>
      </c>
      <c r="L27" s="1">
        <f>A28</f>
        <v>5.8</v>
      </c>
      <c r="M27" s="4">
        <f>C28</f>
        <v>14.3</v>
      </c>
      <c r="N27" s="4">
        <f>D28</f>
        <v>17.100000000000001</v>
      </c>
      <c r="O27" s="7">
        <f>K27*(L27*(M28*N29-M29*N28)-M27*(L28*N29-L29*N28)+N27*(L28*M29-L29*M28))</f>
        <v>3330.8783999999991</v>
      </c>
      <c r="P27" s="6">
        <f>C27</f>
        <v>-8.3000000000000007</v>
      </c>
      <c r="Q27" s="9">
        <f>A28</f>
        <v>5.8</v>
      </c>
      <c r="R27" s="4">
        <f>B28</f>
        <v>-8.3000000000000007</v>
      </c>
      <c r="S27" s="4">
        <f>D28</f>
        <v>17.100000000000001</v>
      </c>
      <c r="T27" s="7">
        <f>P27*(Q27*(R28*S29-R29*S28)-R27*(Q28*S29-Q29*S28)+S27*(Q28*R29-Q29*R28))</f>
        <v>10953.808800000004</v>
      </c>
      <c r="U27" s="11">
        <f>D27</f>
        <v>2.23</v>
      </c>
      <c r="V27" s="1">
        <f>A28</f>
        <v>5.8</v>
      </c>
      <c r="W27" s="4">
        <f>B28</f>
        <v>-8.3000000000000007</v>
      </c>
      <c r="X27" s="4">
        <f>C28</f>
        <v>14.3</v>
      </c>
      <c r="Y27" s="7">
        <f>U27*(V27*(W28*X29-W29*X28)-W27*(V28*X29-V29*X28)+X27*(V28*W29-V29*W28))</f>
        <v>-3109.0392400000005</v>
      </c>
    </row>
    <row r="28" spans="1:25" x14ac:dyDescent="0.25">
      <c r="A28" s="4">
        <v>5.8</v>
      </c>
      <c r="B28" s="4">
        <v>-8.3000000000000007</v>
      </c>
      <c r="C28" s="4">
        <v>14.3</v>
      </c>
      <c r="D28" s="5">
        <v>17.100000000000001</v>
      </c>
      <c r="G28" s="4">
        <f>B29</f>
        <v>7.7</v>
      </c>
      <c r="H28" s="4">
        <f>C29</f>
        <v>-18.3</v>
      </c>
      <c r="I28" s="4">
        <f>D29</f>
        <v>-5.4</v>
      </c>
      <c r="J28" s="2">
        <f>MDETERM(G27:I29)*F27</f>
        <v>-9719.3408000000018</v>
      </c>
      <c r="K28" s="2"/>
      <c r="L28" s="1">
        <f>A29</f>
        <v>8.6</v>
      </c>
      <c r="M28" s="4">
        <f>C29</f>
        <v>-18.3</v>
      </c>
      <c r="N28" s="4">
        <f>D29</f>
        <v>-5.4</v>
      </c>
      <c r="O28" s="2">
        <f>MDETERM(L27:N29)*K27</f>
        <v>3330.878400000006</v>
      </c>
      <c r="Q28" s="9">
        <f>A29</f>
        <v>8.6</v>
      </c>
      <c r="R28" s="4">
        <f>B29</f>
        <v>7.7</v>
      </c>
      <c r="S28" s="4">
        <f>D29</f>
        <v>-5.4</v>
      </c>
      <c r="T28" s="2">
        <f>MDETERM(Q27:S29)*P27</f>
        <v>10953.808800000004</v>
      </c>
      <c r="V28" s="1">
        <f>A29</f>
        <v>8.6</v>
      </c>
      <c r="W28" s="4">
        <f>B29</f>
        <v>7.7</v>
      </c>
      <c r="X28" s="4">
        <f>C29</f>
        <v>-18.3</v>
      </c>
      <c r="Y28" s="2">
        <f>MDETERM(V27:X29)*U27</f>
        <v>-3109.0392399999996</v>
      </c>
    </row>
    <row r="29" spans="1:25" x14ac:dyDescent="0.25">
      <c r="A29" s="4">
        <v>8.6</v>
      </c>
      <c r="B29" s="4">
        <v>7.7</v>
      </c>
      <c r="C29" s="4">
        <v>-18.3</v>
      </c>
      <c r="D29" s="5">
        <v>-5.4</v>
      </c>
      <c r="G29" s="4">
        <f>B30</f>
        <v>-5.2</v>
      </c>
      <c r="H29" s="4">
        <f>C30</f>
        <v>-6.5</v>
      </c>
      <c r="I29" s="4">
        <f>D30</f>
        <v>6.5</v>
      </c>
      <c r="K29" s="2"/>
      <c r="L29" s="1">
        <f>A30</f>
        <v>13.2</v>
      </c>
      <c r="M29" s="4">
        <f>C30</f>
        <v>-6.5</v>
      </c>
      <c r="N29" s="4">
        <f>D30</f>
        <v>6.5</v>
      </c>
      <c r="Q29" s="9">
        <f>A30</f>
        <v>13.2</v>
      </c>
      <c r="R29" s="4">
        <f>B30</f>
        <v>-5.2</v>
      </c>
      <c r="S29" s="4">
        <f>D30</f>
        <v>6.5</v>
      </c>
      <c r="V29" s="1">
        <f>A30</f>
        <v>13.2</v>
      </c>
      <c r="W29" s="4">
        <f>B30</f>
        <v>-5.2</v>
      </c>
      <c r="X29" s="4">
        <f>C30</f>
        <v>-6.5</v>
      </c>
    </row>
    <row r="30" spans="1:25" x14ac:dyDescent="0.25">
      <c r="A30" s="4">
        <v>13.2</v>
      </c>
      <c r="B30" s="4">
        <v>-5.2</v>
      </c>
      <c r="C30" s="4">
        <v>-6.5</v>
      </c>
      <c r="D30" s="5">
        <v>6.5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F7AAE-22C4-4E21-AE68-3B413B8EC61F}">
  <dimension ref="A1:Y30"/>
  <sheetViews>
    <sheetView zoomScaleNormal="100" workbookViewId="0">
      <selection activeCell="G1" sqref="G1:N5"/>
    </sheetView>
  </sheetViews>
  <sheetFormatPr defaultRowHeight="15" x14ac:dyDescent="0.25"/>
  <cols>
    <col min="13" max="13" width="11.42578125" customWidth="1"/>
    <col min="14" max="14" width="11.140625" customWidth="1"/>
  </cols>
  <sheetData>
    <row r="1" spans="1:2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8" t="s">
        <v>5</v>
      </c>
      <c r="H1" s="2">
        <f>J7-O7+T7-Y7</f>
        <v>-3.5306953399999985</v>
      </c>
      <c r="I1" s="2">
        <f>MDETERM(A7:D10)</f>
        <v>-3.5306953399999998</v>
      </c>
      <c r="K1" t="s">
        <v>0</v>
      </c>
      <c r="L1" s="2">
        <f>H2/$H$1</f>
        <v>-2.2552345170625893E-2</v>
      </c>
      <c r="M1" t="s">
        <v>10</v>
      </c>
      <c r="N1" s="12">
        <f>A2*$L$1+B2*$L$2+C2*$L$3+D2*$L$4</f>
        <v>0.11999999999999994</v>
      </c>
    </row>
    <row r="2" spans="1:25" x14ac:dyDescent="0.25">
      <c r="A2" s="4">
        <v>1</v>
      </c>
      <c r="B2" s="4">
        <v>-0.51</v>
      </c>
      <c r="C2" s="4">
        <v>0.12</v>
      </c>
      <c r="D2" s="4">
        <v>0.55000000000000004</v>
      </c>
      <c r="E2" s="5">
        <v>0.12</v>
      </c>
      <c r="G2" s="8" t="s">
        <v>6</v>
      </c>
      <c r="H2" s="2">
        <f>J12-O12+T12-Y12</f>
        <v>7.9625460000000314E-2</v>
      </c>
      <c r="I2" s="2">
        <f>MDETERM(A12:D15)</f>
        <v>7.9625460000000078E-2</v>
      </c>
      <c r="K2" t="s">
        <v>1</v>
      </c>
      <c r="L2" s="2">
        <f t="shared" ref="L2:L4" si="0">H3/$H$1</f>
        <v>-0.43234492727429735</v>
      </c>
      <c r="N2" s="12">
        <f t="shared" ref="N2:N4" si="1">A3*$L$1+B3*$L$2+C3*$L$3+D3*$L$4</f>
        <v>0.13000000000000006</v>
      </c>
    </row>
    <row r="3" spans="1:25" x14ac:dyDescent="0.25">
      <c r="A3" s="4">
        <v>0.12</v>
      </c>
      <c r="B3" s="4">
        <v>0.18</v>
      </c>
      <c r="C3" s="4">
        <v>-0.22</v>
      </c>
      <c r="D3" s="4">
        <v>-0.41</v>
      </c>
      <c r="E3" s="5">
        <v>0.13</v>
      </c>
      <c r="G3" s="8" t="s">
        <v>7</v>
      </c>
      <c r="H3" s="2">
        <f>J17-O17+T17-Y17</f>
        <v>1.52647822</v>
      </c>
      <c r="I3" s="2">
        <f>MDETERM(A17:D20)</f>
        <v>1.5264782200000002</v>
      </c>
      <c r="K3" t="s">
        <v>2</v>
      </c>
      <c r="L3" s="2">
        <f t="shared" si="0"/>
        <v>-1.1676008329849275</v>
      </c>
      <c r="N3" s="12">
        <f t="shared" si="1"/>
        <v>1</v>
      </c>
    </row>
    <row r="4" spans="1:25" x14ac:dyDescent="0.25">
      <c r="A4" s="4">
        <v>0.22</v>
      </c>
      <c r="B4" s="4">
        <v>-3.01</v>
      </c>
      <c r="C4" s="4">
        <v>0.31</v>
      </c>
      <c r="D4" s="4">
        <v>0.57999999999999996</v>
      </c>
      <c r="E4" s="5">
        <v>1</v>
      </c>
      <c r="G4" s="8" t="s">
        <v>8</v>
      </c>
      <c r="H4" s="2">
        <f>J22-O22+T22-Y22</f>
        <v>4.1224428199999998</v>
      </c>
      <c r="I4" s="2">
        <f>MDETERM(A22:D25)</f>
        <v>4.122442819999999</v>
      </c>
      <c r="K4" t="s">
        <v>3</v>
      </c>
      <c r="L4" s="2">
        <f t="shared" si="0"/>
        <v>0.11303369494350088</v>
      </c>
      <c r="N4" s="12">
        <f t="shared" si="1"/>
        <v>3.410000000000001</v>
      </c>
    </row>
    <row r="5" spans="1:25" x14ac:dyDescent="0.25">
      <c r="A5" s="4">
        <v>1</v>
      </c>
      <c r="B5" s="4">
        <v>0.24</v>
      </c>
      <c r="C5" s="4">
        <v>-3.05</v>
      </c>
      <c r="D5" s="4">
        <v>-0.22</v>
      </c>
      <c r="E5" s="5">
        <v>3.41</v>
      </c>
      <c r="G5" s="8" t="s">
        <v>9</v>
      </c>
      <c r="H5" s="2">
        <f>J27-O27+T27-Y27</f>
        <v>-0.39908753999999996</v>
      </c>
      <c r="I5" s="2">
        <f>MDETERM(A27:D30)</f>
        <v>-0.39908753999999935</v>
      </c>
    </row>
    <row r="7" spans="1:25" x14ac:dyDescent="0.25">
      <c r="A7" s="4">
        <v>1</v>
      </c>
      <c r="B7" s="4">
        <v>-0.51</v>
      </c>
      <c r="C7" s="4">
        <v>0.12</v>
      </c>
      <c r="D7" s="4">
        <v>0.55000000000000004</v>
      </c>
      <c r="F7" s="6">
        <f>A7</f>
        <v>1</v>
      </c>
      <c r="G7" s="4">
        <f>B8</f>
        <v>0.18</v>
      </c>
      <c r="H7" s="4">
        <f>C8</f>
        <v>-0.22</v>
      </c>
      <c r="I7" s="4">
        <f>D8</f>
        <v>-0.41</v>
      </c>
      <c r="J7" s="7">
        <f>F7*(G7*(H8*I9-H9*I8)-H7*(G8*I9-G9*I8)+I7*(G8*H9-G9*H8))</f>
        <v>-3.3122969999999992</v>
      </c>
      <c r="K7" s="10">
        <f>B7</f>
        <v>-0.51</v>
      </c>
      <c r="L7" s="1">
        <f>A8</f>
        <v>0.12</v>
      </c>
      <c r="M7" s="4">
        <f>C8</f>
        <v>-0.22</v>
      </c>
      <c r="N7" s="4">
        <f>D8</f>
        <v>-0.41</v>
      </c>
      <c r="O7" s="7">
        <f>K7*(L7*(M8*N9-M9*N8)-M7*(L8*N9-L9*N8)+N7*(L8*M9-L9*M8))</f>
        <v>-0.23870957999999992</v>
      </c>
      <c r="P7" s="6">
        <f>C7</f>
        <v>0.12</v>
      </c>
      <c r="Q7" s="9">
        <f>A8</f>
        <v>0.12</v>
      </c>
      <c r="R7" s="4">
        <f>B8</f>
        <v>0.18</v>
      </c>
      <c r="S7" s="4">
        <f>D8</f>
        <v>-0.41</v>
      </c>
      <c r="T7" s="7">
        <f>P7*(Q7*(R8*S9-R9*S8)-R7*(Q8*S9-Q9*S8)+S7*(Q8*R9-Q9*R8))</f>
        <v>-0.12958511999999997</v>
      </c>
      <c r="U7" s="11">
        <f>D7</f>
        <v>0.55000000000000004</v>
      </c>
      <c r="V7" s="1">
        <f>A8</f>
        <v>0.12</v>
      </c>
      <c r="W7" s="4">
        <f>B8</f>
        <v>0.18</v>
      </c>
      <c r="X7" s="4">
        <f>C8</f>
        <v>-0.22</v>
      </c>
      <c r="Y7" s="7">
        <f>U7*(V7*(W8*X9-W9*X8)-W7*(V8*X9-V9*X8)+X7*(V8*W9-V9*W8))</f>
        <v>0.32752279999999978</v>
      </c>
    </row>
    <row r="8" spans="1:25" x14ac:dyDescent="0.25">
      <c r="A8" s="4">
        <v>0.12</v>
      </c>
      <c r="B8" s="4">
        <v>0.18</v>
      </c>
      <c r="C8" s="4">
        <v>-0.22</v>
      </c>
      <c r="D8" s="4">
        <v>-0.41</v>
      </c>
      <c r="G8" s="4">
        <f>B9</f>
        <v>-3.01</v>
      </c>
      <c r="H8" s="4">
        <f>C9</f>
        <v>0.31</v>
      </c>
      <c r="I8" s="4">
        <f>D9</f>
        <v>0.57999999999999996</v>
      </c>
      <c r="J8" s="2">
        <f>MDETERM(G7:I9)*F7</f>
        <v>-3.3122969999999992</v>
      </c>
      <c r="K8" s="2"/>
      <c r="L8" s="1">
        <f>A9</f>
        <v>0.22</v>
      </c>
      <c r="M8" s="4">
        <f>C9</f>
        <v>0.31</v>
      </c>
      <c r="N8" s="4">
        <f>D9</f>
        <v>0.57999999999999996</v>
      </c>
      <c r="O8" s="2">
        <f>MDETERM(L7:N9)*K7</f>
        <v>-0.23870957999999995</v>
      </c>
      <c r="Q8" s="9">
        <f>A9</f>
        <v>0.22</v>
      </c>
      <c r="R8" s="4">
        <f>B9</f>
        <v>-3.01</v>
      </c>
      <c r="S8" s="4">
        <f>D9</f>
        <v>0.57999999999999996</v>
      </c>
      <c r="T8" s="2">
        <f>MDETERM(Q7:S9)*P7</f>
        <v>-0.12958511999999997</v>
      </c>
      <c r="V8" s="1">
        <f>A9</f>
        <v>0.22</v>
      </c>
      <c r="W8" s="4">
        <f>B9</f>
        <v>-3.01</v>
      </c>
      <c r="X8" s="4">
        <f>C9</f>
        <v>0.31</v>
      </c>
      <c r="Y8" s="2">
        <f>MDETERM(V7:X9)*U7</f>
        <v>0.3275228</v>
      </c>
    </row>
    <row r="9" spans="1:25" x14ac:dyDescent="0.25">
      <c r="A9" s="4">
        <v>0.22</v>
      </c>
      <c r="B9" s="4">
        <v>-3.01</v>
      </c>
      <c r="C9" s="4">
        <v>0.31</v>
      </c>
      <c r="D9" s="4">
        <v>0.57999999999999996</v>
      </c>
      <c r="G9" s="4">
        <f>B10</f>
        <v>0.24</v>
      </c>
      <c r="H9" s="4">
        <f>C10</f>
        <v>-3.05</v>
      </c>
      <c r="I9" s="4">
        <f>D10</f>
        <v>-0.22</v>
      </c>
      <c r="K9" s="2"/>
      <c r="L9" s="1">
        <f>A10</f>
        <v>1</v>
      </c>
      <c r="M9" s="4">
        <f>C10</f>
        <v>-3.05</v>
      </c>
      <c r="N9" s="4">
        <f>D10</f>
        <v>-0.22</v>
      </c>
      <c r="Q9" s="9">
        <f>A10</f>
        <v>1</v>
      </c>
      <c r="R9" s="4">
        <f>B10</f>
        <v>0.24</v>
      </c>
      <c r="S9" s="4">
        <f>D10</f>
        <v>-0.22</v>
      </c>
      <c r="V9" s="1">
        <f>A10</f>
        <v>1</v>
      </c>
      <c r="W9" s="4">
        <f>B10</f>
        <v>0.24</v>
      </c>
      <c r="X9" s="4">
        <f>C10</f>
        <v>-3.05</v>
      </c>
    </row>
    <row r="10" spans="1:25" x14ac:dyDescent="0.25">
      <c r="A10" s="4">
        <v>1</v>
      </c>
      <c r="B10" s="4">
        <v>0.24</v>
      </c>
      <c r="C10" s="4">
        <v>-3.05</v>
      </c>
      <c r="D10" s="4">
        <v>-0.22</v>
      </c>
    </row>
    <row r="12" spans="1:25" x14ac:dyDescent="0.25">
      <c r="A12" s="5">
        <v>0.12</v>
      </c>
      <c r="B12" s="4">
        <v>-0.51</v>
      </c>
      <c r="C12" s="4">
        <v>0.12</v>
      </c>
      <c r="D12" s="4">
        <v>0.55000000000000004</v>
      </c>
      <c r="F12" s="6">
        <f>A12</f>
        <v>0.12</v>
      </c>
      <c r="G12" s="4">
        <f>B13</f>
        <v>0.18</v>
      </c>
      <c r="H12" s="4">
        <f>C13</f>
        <v>-0.22</v>
      </c>
      <c r="I12" s="4">
        <f>D13</f>
        <v>-0.41</v>
      </c>
      <c r="J12" s="7">
        <f>F12*(G12*(H13*I14-H14*I13)-H12*(G13*I14-G14*I13)+I12*(G13*H14-G14*H13))</f>
        <v>-0.39747563999999991</v>
      </c>
      <c r="K12" s="10">
        <f>B12</f>
        <v>-0.51</v>
      </c>
      <c r="L12" s="1">
        <f>A13</f>
        <v>0.13</v>
      </c>
      <c r="M12" s="4">
        <f>C13</f>
        <v>-0.22</v>
      </c>
      <c r="N12" s="4">
        <f>D13</f>
        <v>-0.41</v>
      </c>
      <c r="O12" s="7">
        <f>K12*(L12*(M13*N14-M14*N13)-M12*(L13*N14-L14*N13)+N12*(L13*M14-L14*M13))</f>
        <v>-0.72496448999999996</v>
      </c>
      <c r="P12" s="6">
        <f>C12</f>
        <v>0.12</v>
      </c>
      <c r="Q12" s="9">
        <f>A13</f>
        <v>0.13</v>
      </c>
      <c r="R12" s="4">
        <f>B13</f>
        <v>0.18</v>
      </c>
      <c r="S12" s="4">
        <f>D13</f>
        <v>-0.41</v>
      </c>
      <c r="T12" s="7">
        <f>P12*(Q12*(R13*S14-R14*S13)-R12*(Q13*S14-Q14*S13)+S12*(Q13*R14-Q14*R13))</f>
        <v>-0.4611704399999999</v>
      </c>
      <c r="U12" s="11">
        <f>D12</f>
        <v>0.55000000000000004</v>
      </c>
      <c r="V12" s="1">
        <f>A13</f>
        <v>0.13</v>
      </c>
      <c r="W12" s="4">
        <f>B13</f>
        <v>0.18</v>
      </c>
      <c r="X12" s="4">
        <f>C13</f>
        <v>-0.22</v>
      </c>
      <c r="Y12" s="7">
        <f>U12*(V12*(W13*X14-W14*X13)-W12*(V13*X14-V14*X13)+X12*(V13*W14-V14*W13))</f>
        <v>-0.21330705000000016</v>
      </c>
    </row>
    <row r="13" spans="1:25" x14ac:dyDescent="0.25">
      <c r="A13" s="5">
        <v>0.13</v>
      </c>
      <c r="B13" s="4">
        <v>0.18</v>
      </c>
      <c r="C13" s="4">
        <v>-0.22</v>
      </c>
      <c r="D13" s="4">
        <v>-0.41</v>
      </c>
      <c r="G13" s="4">
        <f>B14</f>
        <v>-3.01</v>
      </c>
      <c r="H13" s="4">
        <f>C14</f>
        <v>0.31</v>
      </c>
      <c r="I13" s="4">
        <f>D14</f>
        <v>0.57999999999999996</v>
      </c>
      <c r="J13" s="2">
        <f>MDETERM(G12:I14)*F12</f>
        <v>-0.39747563999999991</v>
      </c>
      <c r="K13" s="2"/>
      <c r="L13" s="1">
        <f>A14</f>
        <v>1</v>
      </c>
      <c r="M13" s="4">
        <f>C14</f>
        <v>0.31</v>
      </c>
      <c r="N13" s="4">
        <f>D14</f>
        <v>0.57999999999999996</v>
      </c>
      <c r="O13" s="2">
        <f>MDETERM(L12:N14)*K12</f>
        <v>-0.72496449000000007</v>
      </c>
      <c r="Q13" s="9">
        <f>A14</f>
        <v>1</v>
      </c>
      <c r="R13" s="4">
        <f>B14</f>
        <v>-3.01</v>
      </c>
      <c r="S13" s="4">
        <f>D14</f>
        <v>0.57999999999999996</v>
      </c>
      <c r="T13" s="2">
        <f>MDETERM(Q12:S14)*P12</f>
        <v>-0.46117043999999996</v>
      </c>
      <c r="V13" s="1">
        <f>A14</f>
        <v>1</v>
      </c>
      <c r="W13" s="4">
        <f>B14</f>
        <v>-3.01</v>
      </c>
      <c r="X13" s="4">
        <f>C14</f>
        <v>0.31</v>
      </c>
      <c r="Y13" s="2">
        <f>MDETERM(V12:X14)*U12</f>
        <v>-0.21330705000000008</v>
      </c>
    </row>
    <row r="14" spans="1:25" x14ac:dyDescent="0.25">
      <c r="A14" s="5">
        <v>1</v>
      </c>
      <c r="B14" s="4">
        <v>-3.01</v>
      </c>
      <c r="C14" s="4">
        <v>0.31</v>
      </c>
      <c r="D14" s="4">
        <v>0.57999999999999996</v>
      </c>
      <c r="G14" s="4">
        <f>B15</f>
        <v>0.24</v>
      </c>
      <c r="H14" s="4">
        <f>C15</f>
        <v>-3.05</v>
      </c>
      <c r="I14" s="4">
        <f>D15</f>
        <v>-0.22</v>
      </c>
      <c r="K14" s="2"/>
      <c r="L14" s="1">
        <f>A15</f>
        <v>3.41</v>
      </c>
      <c r="M14" s="4">
        <f>C15</f>
        <v>-3.05</v>
      </c>
      <c r="N14" s="4">
        <f>D15</f>
        <v>-0.22</v>
      </c>
      <c r="Q14" s="9">
        <f>A15</f>
        <v>3.41</v>
      </c>
      <c r="R14" s="4">
        <f>B15</f>
        <v>0.24</v>
      </c>
      <c r="S14" s="4">
        <f>D15</f>
        <v>-0.22</v>
      </c>
      <c r="V14" s="1">
        <f>A15</f>
        <v>3.41</v>
      </c>
      <c r="W14" s="4">
        <f>B15</f>
        <v>0.24</v>
      </c>
      <c r="X14" s="4">
        <f>C15</f>
        <v>-3.05</v>
      </c>
    </row>
    <row r="15" spans="1:25" x14ac:dyDescent="0.25">
      <c r="A15" s="5">
        <v>3.41</v>
      </c>
      <c r="B15" s="4">
        <v>0.24</v>
      </c>
      <c r="C15" s="4">
        <v>-3.05</v>
      </c>
      <c r="D15" s="4">
        <v>-0.22</v>
      </c>
    </row>
    <row r="17" spans="1:25" x14ac:dyDescent="0.25">
      <c r="A17" s="4">
        <v>1</v>
      </c>
      <c r="B17" s="5">
        <v>0.12</v>
      </c>
      <c r="C17" s="4">
        <v>0.12</v>
      </c>
      <c r="D17" s="4">
        <v>0.55000000000000004</v>
      </c>
      <c r="F17" s="6">
        <f>A17</f>
        <v>1</v>
      </c>
      <c r="G17" s="4">
        <f>B18</f>
        <v>0.13</v>
      </c>
      <c r="H17" s="4">
        <f>C18</f>
        <v>-0.22</v>
      </c>
      <c r="I17" s="4">
        <f>D18</f>
        <v>-0.41</v>
      </c>
      <c r="J17" s="7">
        <f>F17*(G17*(H18*I19-H19*I18)-H17*(G18*I19-G19*I18)+I17*(G18*H19-G19*H18))</f>
        <v>1.4214989999999998</v>
      </c>
      <c r="K17" s="10">
        <f>B17</f>
        <v>0.12</v>
      </c>
      <c r="L17" s="1">
        <f>A18</f>
        <v>0.12</v>
      </c>
      <c r="M17" s="4">
        <f>C18</f>
        <v>-0.22</v>
      </c>
      <c r="N17" s="4">
        <f>D18</f>
        <v>-0.41</v>
      </c>
      <c r="O17" s="7">
        <f>K17*(L17*(M18*N19-M19*N18)-M17*(L18*N19-L19*N18)+N17*(L18*M19-L19*M18))</f>
        <v>5.6166959999999981E-2</v>
      </c>
      <c r="P17" s="6">
        <f>C17</f>
        <v>0.12</v>
      </c>
      <c r="Q17" s="9">
        <f>A18</f>
        <v>0.12</v>
      </c>
      <c r="R17" s="4">
        <f>B18</f>
        <v>0.13</v>
      </c>
      <c r="S17" s="4">
        <f>D18</f>
        <v>-0.41</v>
      </c>
      <c r="T17" s="7">
        <f>P17*(Q17*(R18*S19-R19*S18)-R17*(Q18*S19-Q19*S18)+S17*(Q18*R19-Q19*R18))</f>
        <v>-9.5551200000000037E-3</v>
      </c>
      <c r="U17" s="11">
        <f>D17</f>
        <v>0.55000000000000004</v>
      </c>
      <c r="V17" s="1">
        <f>A18</f>
        <v>0.12</v>
      </c>
      <c r="W17" s="4">
        <f>B18</f>
        <v>0.13</v>
      </c>
      <c r="X17" s="4">
        <f>C18</f>
        <v>-0.22</v>
      </c>
      <c r="Y17" s="7">
        <f>U17*(V17*(W18*X19-W19*X18)-W17*(V18*X19-V19*X18)+X17*(V18*W19-V19*W18))</f>
        <v>-0.1707013</v>
      </c>
    </row>
    <row r="18" spans="1:25" x14ac:dyDescent="0.25">
      <c r="A18" s="4">
        <v>0.12</v>
      </c>
      <c r="B18" s="5">
        <v>0.13</v>
      </c>
      <c r="C18" s="4">
        <v>-0.22</v>
      </c>
      <c r="D18" s="4">
        <v>-0.41</v>
      </c>
      <c r="G18" s="4">
        <f>B19</f>
        <v>1</v>
      </c>
      <c r="H18" s="4">
        <f>C19</f>
        <v>0.31</v>
      </c>
      <c r="I18" s="4">
        <f>D19</f>
        <v>0.57999999999999996</v>
      </c>
      <c r="J18" s="2">
        <f>MDETERM(G17:I19)*F17</f>
        <v>1.4214990000000001</v>
      </c>
      <c r="K18" s="2"/>
      <c r="L18" s="1">
        <f>A19</f>
        <v>0.22</v>
      </c>
      <c r="M18" s="4">
        <f>C19</f>
        <v>0.31</v>
      </c>
      <c r="N18" s="4">
        <f>D19</f>
        <v>0.57999999999999996</v>
      </c>
      <c r="O18" s="2">
        <f>MDETERM(L17:N19)*K17</f>
        <v>5.6166959999999988E-2</v>
      </c>
      <c r="Q18" s="9">
        <f>A19</f>
        <v>0.22</v>
      </c>
      <c r="R18" s="4">
        <f>B19</f>
        <v>1</v>
      </c>
      <c r="S18" s="4">
        <f>D19</f>
        <v>0.57999999999999996</v>
      </c>
      <c r="T18" s="2">
        <f>MDETERM(Q17:S19)*P17</f>
        <v>-9.5551200000000037E-3</v>
      </c>
      <c r="V18" s="1">
        <f>A19</f>
        <v>0.22</v>
      </c>
      <c r="W18" s="4">
        <f>B19</f>
        <v>1</v>
      </c>
      <c r="X18" s="4">
        <f>C19</f>
        <v>0.31</v>
      </c>
      <c r="Y18" s="2">
        <f>MDETERM(V17:X19)*U17</f>
        <v>-0.17070129999999997</v>
      </c>
    </row>
    <row r="19" spans="1:25" x14ac:dyDescent="0.25">
      <c r="A19" s="4">
        <v>0.22</v>
      </c>
      <c r="B19" s="5">
        <v>1</v>
      </c>
      <c r="C19" s="4">
        <v>0.31</v>
      </c>
      <c r="D19" s="4">
        <v>0.57999999999999996</v>
      </c>
      <c r="G19" s="4">
        <f>B20</f>
        <v>3.41</v>
      </c>
      <c r="H19" s="4">
        <f>C20</f>
        <v>-3.05</v>
      </c>
      <c r="I19" s="4">
        <f>D20</f>
        <v>-0.22</v>
      </c>
      <c r="K19" s="2"/>
      <c r="L19" s="1">
        <f>A20</f>
        <v>1</v>
      </c>
      <c r="M19" s="4">
        <f>C20</f>
        <v>-3.05</v>
      </c>
      <c r="N19" s="4">
        <f>D20</f>
        <v>-0.22</v>
      </c>
      <c r="Q19" s="9">
        <f>A20</f>
        <v>1</v>
      </c>
      <c r="R19" s="4">
        <f>B20</f>
        <v>3.41</v>
      </c>
      <c r="S19" s="4">
        <f>D20</f>
        <v>-0.22</v>
      </c>
      <c r="V19" s="1">
        <f>A20</f>
        <v>1</v>
      </c>
      <c r="W19" s="4">
        <f>B20</f>
        <v>3.41</v>
      </c>
      <c r="X19" s="4">
        <f>C20</f>
        <v>-3.05</v>
      </c>
    </row>
    <row r="20" spans="1:25" x14ac:dyDescent="0.25">
      <c r="A20" s="4">
        <v>1</v>
      </c>
      <c r="B20" s="5">
        <v>3.41</v>
      </c>
      <c r="C20" s="4">
        <v>-3.05</v>
      </c>
      <c r="D20" s="4">
        <v>-0.22</v>
      </c>
    </row>
    <row r="22" spans="1:25" x14ac:dyDescent="0.25">
      <c r="A22" s="4">
        <v>1</v>
      </c>
      <c r="B22" s="4">
        <v>-0.51</v>
      </c>
      <c r="C22" s="5">
        <v>0.12</v>
      </c>
      <c r="D22" s="4">
        <v>0.55000000000000004</v>
      </c>
      <c r="F22" s="6">
        <f>A22</f>
        <v>1</v>
      </c>
      <c r="G22" s="4">
        <f>B23</f>
        <v>0.18</v>
      </c>
      <c r="H22" s="4">
        <f>C23</f>
        <v>0.13</v>
      </c>
      <c r="I22" s="4">
        <f>D23</f>
        <v>-0.41</v>
      </c>
      <c r="J22" s="7">
        <f>F22*(G22*(H23*I24-H24*I23)-H22*(G23*I24-G24*I23)+I22*(G23*H24-G24*H23))</f>
        <v>3.8430869999999993</v>
      </c>
      <c r="K22" s="10">
        <f>B22</f>
        <v>-0.51</v>
      </c>
      <c r="L22" s="1">
        <f>A23</f>
        <v>0.12</v>
      </c>
      <c r="M22" s="4">
        <f>C23</f>
        <v>0.13</v>
      </c>
      <c r="N22" s="4">
        <f>D23</f>
        <v>-0.41</v>
      </c>
      <c r="O22" s="7">
        <f>K22*(L22*(M23*N24-M24*N23)-M22*(L23*N24-L24*N23)+N22*(L23*M24-L24*M23))</f>
        <v>4.0609260000000015E-2</v>
      </c>
      <c r="P22" s="6">
        <f>C22</f>
        <v>0.12</v>
      </c>
      <c r="Q22" s="9">
        <f>A23</f>
        <v>0.12</v>
      </c>
      <c r="R22" s="4">
        <f>B23</f>
        <v>0.18</v>
      </c>
      <c r="S22" s="4">
        <f>D23</f>
        <v>-0.41</v>
      </c>
      <c r="T22" s="7">
        <f>P22*(Q22*(R23*S24-R24*S23)-R22*(Q23*S24-Q24*S23)+S22*(Q23*R24-Q24*R23))</f>
        <v>-0.12958511999999997</v>
      </c>
      <c r="U22" s="11">
        <f>D22</f>
        <v>0.55000000000000004</v>
      </c>
      <c r="V22" s="1">
        <f>A23</f>
        <v>0.12</v>
      </c>
      <c r="W22" s="4">
        <f>B23</f>
        <v>0.18</v>
      </c>
      <c r="X22" s="4">
        <f>C23</f>
        <v>0.13</v>
      </c>
      <c r="Y22" s="7">
        <f>U22*(V22*(W23*X24-W24*X23)-W22*(V23*X24-V24*X23)+X22*(V23*W24-V24*W23))</f>
        <v>-0.44955020000000001</v>
      </c>
    </row>
    <row r="23" spans="1:25" x14ac:dyDescent="0.25">
      <c r="A23" s="4">
        <v>0.12</v>
      </c>
      <c r="B23" s="4">
        <v>0.18</v>
      </c>
      <c r="C23" s="5">
        <v>0.13</v>
      </c>
      <c r="D23" s="4">
        <v>-0.41</v>
      </c>
      <c r="G23" s="4">
        <f>B24</f>
        <v>-3.01</v>
      </c>
      <c r="H23" s="4">
        <f>C24</f>
        <v>1</v>
      </c>
      <c r="I23" s="4">
        <f>D24</f>
        <v>0.57999999999999996</v>
      </c>
      <c r="J23" s="2">
        <f>MDETERM(G22:I24)*F22</f>
        <v>3.8430869999999993</v>
      </c>
      <c r="K23" s="2"/>
      <c r="L23" s="1">
        <f>A24</f>
        <v>0.22</v>
      </c>
      <c r="M23" s="4">
        <f>C24</f>
        <v>1</v>
      </c>
      <c r="N23" s="4">
        <f>D24</f>
        <v>0.57999999999999996</v>
      </c>
      <c r="O23" s="2">
        <f>MDETERM(L22:N24)*K22</f>
        <v>4.0609260000000015E-2</v>
      </c>
      <c r="Q23" s="9">
        <f>A24</f>
        <v>0.22</v>
      </c>
      <c r="R23" s="4">
        <f>B24</f>
        <v>-3.01</v>
      </c>
      <c r="S23" s="4">
        <f>D24</f>
        <v>0.57999999999999996</v>
      </c>
      <c r="T23" s="2">
        <f>MDETERM(Q22:S24)*P22</f>
        <v>-0.12958511999999997</v>
      </c>
      <c r="V23" s="1">
        <f>A24</f>
        <v>0.22</v>
      </c>
      <c r="W23" s="4">
        <f>B24</f>
        <v>-3.01</v>
      </c>
      <c r="X23" s="4">
        <f>C24</f>
        <v>1</v>
      </c>
      <c r="Y23" s="2">
        <f>MDETERM(V22:X24)*U22</f>
        <v>-0.44955020000000001</v>
      </c>
    </row>
    <row r="24" spans="1:25" x14ac:dyDescent="0.25">
      <c r="A24" s="4">
        <v>0.22</v>
      </c>
      <c r="B24" s="4">
        <v>-3.01</v>
      </c>
      <c r="C24" s="5">
        <v>1</v>
      </c>
      <c r="D24" s="4">
        <v>0.57999999999999996</v>
      </c>
      <c r="G24" s="4">
        <f>B25</f>
        <v>0.24</v>
      </c>
      <c r="H24" s="4">
        <f>C25</f>
        <v>3.41</v>
      </c>
      <c r="I24" s="4">
        <f>D25</f>
        <v>-0.22</v>
      </c>
      <c r="K24" s="2"/>
      <c r="L24" s="1">
        <f>A25</f>
        <v>1</v>
      </c>
      <c r="M24" s="4">
        <f>C25</f>
        <v>3.41</v>
      </c>
      <c r="N24" s="4">
        <f>D25</f>
        <v>-0.22</v>
      </c>
      <c r="Q24" s="9">
        <f>A25</f>
        <v>1</v>
      </c>
      <c r="R24" s="4">
        <f>B25</f>
        <v>0.24</v>
      </c>
      <c r="S24" s="4">
        <f>D25</f>
        <v>-0.22</v>
      </c>
      <c r="V24" s="1">
        <f>A25</f>
        <v>1</v>
      </c>
      <c r="W24" s="4">
        <f>B25</f>
        <v>0.24</v>
      </c>
      <c r="X24" s="4">
        <f>C25</f>
        <v>3.41</v>
      </c>
    </row>
    <row r="25" spans="1:25" x14ac:dyDescent="0.25">
      <c r="A25" s="4">
        <v>1</v>
      </c>
      <c r="B25" s="4">
        <v>0.24</v>
      </c>
      <c r="C25" s="5">
        <v>3.41</v>
      </c>
      <c r="D25" s="4">
        <v>-0.22</v>
      </c>
    </row>
    <row r="27" spans="1:25" x14ac:dyDescent="0.25">
      <c r="A27" s="4">
        <v>1</v>
      </c>
      <c r="B27" s="4">
        <v>-0.51</v>
      </c>
      <c r="C27" s="4">
        <v>0.12</v>
      </c>
      <c r="D27" s="5">
        <v>0.12</v>
      </c>
      <c r="F27" s="6">
        <f>A27</f>
        <v>1</v>
      </c>
      <c r="G27" s="4">
        <f>B28</f>
        <v>0.18</v>
      </c>
      <c r="H27" s="4">
        <f>C28</f>
        <v>-0.22</v>
      </c>
      <c r="I27" s="4">
        <f>D28</f>
        <v>0.13</v>
      </c>
      <c r="J27" s="7">
        <f>F27*(G27*(H28*I29-H29*I28)-H27*(G28*I29-G29*I28)+I27*(G28*H29-G29*H28))</f>
        <v>-0.38783100000000004</v>
      </c>
      <c r="K27" s="10">
        <f>B27</f>
        <v>-0.51</v>
      </c>
      <c r="L27" s="1">
        <f>A28</f>
        <v>0.12</v>
      </c>
      <c r="M27" s="4">
        <f>C28</f>
        <v>-0.22</v>
      </c>
      <c r="N27" s="4">
        <f>D28</f>
        <v>0.13</v>
      </c>
      <c r="O27" s="7">
        <f>K27*(L27*(M28*N29-M29*N28)-M27*(L28*N29-L29*N28)+N27*(L28*M29-L29*M28))</f>
        <v>-0.15828666</v>
      </c>
      <c r="P27" s="6">
        <f>C27</f>
        <v>0.12</v>
      </c>
      <c r="Q27" s="9">
        <f>A28</f>
        <v>0.12</v>
      </c>
      <c r="R27" s="4">
        <f>B28</f>
        <v>0.18</v>
      </c>
      <c r="S27" s="4">
        <f>D28</f>
        <v>0.13</v>
      </c>
      <c r="T27" s="7">
        <f>P27*(Q27*(R28*S29-R29*S28)-R27*(Q28*S29-Q29*S28)+S27*(Q28*R29-Q29*R28))</f>
        <v>-9.8083679999999993E-2</v>
      </c>
      <c r="U27" s="11">
        <f>D27</f>
        <v>0.12</v>
      </c>
      <c r="V27" s="1">
        <f>A28</f>
        <v>0.12</v>
      </c>
      <c r="W27" s="4">
        <f>B28</f>
        <v>0.18</v>
      </c>
      <c r="X27" s="4">
        <f>C28</f>
        <v>-0.22</v>
      </c>
      <c r="Y27" s="7">
        <f>U27*(V27*(W28*X29-W29*X28)-W27*(V28*X29-V29*X28)+X27*(V28*W29-V29*W28))</f>
        <v>7.1459519999999943E-2</v>
      </c>
    </row>
    <row r="28" spans="1:25" x14ac:dyDescent="0.25">
      <c r="A28" s="4">
        <v>0.12</v>
      </c>
      <c r="B28" s="4">
        <v>0.18</v>
      </c>
      <c r="C28" s="4">
        <v>-0.22</v>
      </c>
      <c r="D28" s="5">
        <v>0.13</v>
      </c>
      <c r="G28" s="4">
        <f>B29</f>
        <v>-3.01</v>
      </c>
      <c r="H28" s="4">
        <f>C29</f>
        <v>0.31</v>
      </c>
      <c r="I28" s="4">
        <f>D29</f>
        <v>1</v>
      </c>
      <c r="J28" s="2">
        <f>MDETERM(G27:I29)*F27</f>
        <v>-0.38783099999999998</v>
      </c>
      <c r="K28" s="2"/>
      <c r="L28" s="1">
        <f>A29</f>
        <v>0.22</v>
      </c>
      <c r="M28" s="4">
        <f>C29</f>
        <v>0.31</v>
      </c>
      <c r="N28" s="4">
        <f>D29</f>
        <v>1</v>
      </c>
      <c r="O28" s="2">
        <f>MDETERM(L27:N29)*K27</f>
        <v>-0.15828665999999997</v>
      </c>
      <c r="Q28" s="9">
        <f>A29</f>
        <v>0.22</v>
      </c>
      <c r="R28" s="4">
        <f>B29</f>
        <v>-3.01</v>
      </c>
      <c r="S28" s="4">
        <f>D29</f>
        <v>1</v>
      </c>
      <c r="T28" s="2">
        <f>MDETERM(Q27:S29)*P27</f>
        <v>-9.8083679999999993E-2</v>
      </c>
      <c r="V28" s="1">
        <f>A29</f>
        <v>0.22</v>
      </c>
      <c r="W28" s="4">
        <f>B29</f>
        <v>-3.01</v>
      </c>
      <c r="X28" s="4">
        <f>C29</f>
        <v>0.31</v>
      </c>
      <c r="Y28" s="2">
        <f>MDETERM(V27:X29)*U27</f>
        <v>7.1459519999999985E-2</v>
      </c>
    </row>
    <row r="29" spans="1:25" x14ac:dyDescent="0.25">
      <c r="A29" s="4">
        <v>0.22</v>
      </c>
      <c r="B29" s="4">
        <v>-3.01</v>
      </c>
      <c r="C29" s="4">
        <v>0.31</v>
      </c>
      <c r="D29" s="5">
        <v>1</v>
      </c>
      <c r="G29" s="4">
        <f>B30</f>
        <v>0.24</v>
      </c>
      <c r="H29" s="4">
        <f>C30</f>
        <v>-3.05</v>
      </c>
      <c r="I29" s="4">
        <f>D30</f>
        <v>3.41</v>
      </c>
      <c r="K29" s="2"/>
      <c r="L29" s="1">
        <f>A30</f>
        <v>1</v>
      </c>
      <c r="M29" s="4">
        <f>C30</f>
        <v>-3.05</v>
      </c>
      <c r="N29" s="4">
        <f>D30</f>
        <v>3.41</v>
      </c>
      <c r="Q29" s="9">
        <f>A30</f>
        <v>1</v>
      </c>
      <c r="R29" s="4">
        <f>B30</f>
        <v>0.24</v>
      </c>
      <c r="S29" s="4">
        <f>D30</f>
        <v>3.41</v>
      </c>
      <c r="V29" s="1">
        <f>A30</f>
        <v>1</v>
      </c>
      <c r="W29" s="4">
        <f>B30</f>
        <v>0.24</v>
      </c>
      <c r="X29" s="4">
        <f>C30</f>
        <v>-3.05</v>
      </c>
    </row>
    <row r="30" spans="1:25" x14ac:dyDescent="0.25">
      <c r="A30" s="4">
        <v>1</v>
      </c>
      <c r="B30" s="4">
        <v>0.24</v>
      </c>
      <c r="C30" s="4">
        <v>-3.05</v>
      </c>
      <c r="D30" s="5">
        <v>3.41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S.S.</dc:creator>
  <cp:lastModifiedBy>Student S.S.</cp:lastModifiedBy>
  <dcterms:created xsi:type="dcterms:W3CDTF">2015-06-05T18:19:34Z</dcterms:created>
  <dcterms:modified xsi:type="dcterms:W3CDTF">2023-04-13T05:22:54Z</dcterms:modified>
</cp:coreProperties>
</file>