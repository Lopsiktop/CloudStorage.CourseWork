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студенты\21ИС-5\Сорокин\"/>
    </mc:Choice>
  </mc:AlternateContent>
  <xr:revisionPtr revIDLastSave="0" documentId="13_ncr:1_{1F28C547-1192-4D18-B5DB-96DF91B5D9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2" l="1"/>
  <c r="C36" i="2"/>
  <c r="I34" i="2"/>
  <c r="H33" i="2"/>
  <c r="G32" i="2"/>
  <c r="F31" i="2"/>
  <c r="E30" i="2"/>
  <c r="D29" i="2"/>
  <c r="C28" i="2"/>
  <c r="I29" i="2"/>
  <c r="I30" i="2"/>
  <c r="I31" i="2"/>
  <c r="I32" i="2"/>
  <c r="I33" i="2"/>
  <c r="I28" i="2"/>
  <c r="H29" i="2"/>
  <c r="H30" i="2"/>
  <c r="H31" i="2"/>
  <c r="H32" i="2"/>
  <c r="H34" i="2"/>
  <c r="H28" i="2"/>
  <c r="G29" i="2"/>
  <c r="G30" i="2"/>
  <c r="G31" i="2"/>
  <c r="G33" i="2"/>
  <c r="G34" i="2"/>
  <c r="G28" i="2"/>
  <c r="F29" i="2"/>
  <c r="F30" i="2"/>
  <c r="K30" i="2" s="1"/>
  <c r="L30" i="2" s="1"/>
  <c r="F32" i="2"/>
  <c r="F33" i="2"/>
  <c r="F34" i="2"/>
  <c r="F28" i="2"/>
  <c r="E29" i="2"/>
  <c r="E31" i="2"/>
  <c r="E32" i="2"/>
  <c r="E33" i="2"/>
  <c r="E34" i="2"/>
  <c r="E28" i="2"/>
  <c r="D30" i="2"/>
  <c r="D31" i="2"/>
  <c r="K31" i="2" s="1"/>
  <c r="L31" i="2" s="1"/>
  <c r="D32" i="2"/>
  <c r="D33" i="2"/>
  <c r="D34" i="2"/>
  <c r="D28" i="2"/>
  <c r="C31" i="2"/>
  <c r="C29" i="2"/>
  <c r="C30" i="2"/>
  <c r="C32" i="2"/>
  <c r="C33" i="2"/>
  <c r="K33" i="2" s="1"/>
  <c r="L33" i="2" s="1"/>
  <c r="C34" i="2"/>
  <c r="K34" i="2" s="1"/>
  <c r="L34" i="2" s="1"/>
  <c r="A6" i="2"/>
  <c r="C22" i="2"/>
  <c r="C20" i="1"/>
  <c r="C21" i="1" s="1"/>
  <c r="I20" i="2"/>
  <c r="H19" i="2"/>
  <c r="G18" i="2"/>
  <c r="F17" i="2"/>
  <c r="E16" i="2"/>
  <c r="D15" i="2"/>
  <c r="C14" i="2"/>
  <c r="E15" i="2"/>
  <c r="C15" i="2"/>
  <c r="G15" i="2"/>
  <c r="H15" i="2"/>
  <c r="I15" i="2"/>
  <c r="G16" i="2"/>
  <c r="H16" i="2"/>
  <c r="I16" i="2"/>
  <c r="G17" i="2"/>
  <c r="H17" i="2"/>
  <c r="I17" i="2"/>
  <c r="H18" i="2"/>
  <c r="I18" i="2"/>
  <c r="G19" i="2"/>
  <c r="I19" i="2"/>
  <c r="G20" i="2"/>
  <c r="H20" i="2"/>
  <c r="I14" i="2"/>
  <c r="H14" i="2"/>
  <c r="G14" i="2"/>
  <c r="F15" i="2"/>
  <c r="F16" i="2"/>
  <c r="F18" i="2"/>
  <c r="F19" i="2"/>
  <c r="F20" i="2"/>
  <c r="F14" i="2"/>
  <c r="E17" i="2"/>
  <c r="E18" i="2"/>
  <c r="E19" i="2"/>
  <c r="E20" i="2"/>
  <c r="E14" i="2"/>
  <c r="D14" i="2"/>
  <c r="D16" i="2"/>
  <c r="D17" i="2"/>
  <c r="D18" i="2"/>
  <c r="D19" i="2"/>
  <c r="D20" i="2"/>
  <c r="C16" i="2"/>
  <c r="C17" i="2"/>
  <c r="C18" i="2"/>
  <c r="C19" i="2"/>
  <c r="K19" i="2" s="1"/>
  <c r="L19" i="2" s="1"/>
  <c r="C20" i="2"/>
  <c r="C19" i="1"/>
  <c r="K12" i="1"/>
  <c r="A7" i="1"/>
  <c r="H17" i="1"/>
  <c r="G16" i="1"/>
  <c r="F15" i="1"/>
  <c r="E14" i="1"/>
  <c r="D13" i="1"/>
  <c r="C12" i="1"/>
  <c r="J12" i="1" s="1"/>
  <c r="H13" i="1"/>
  <c r="H14" i="1"/>
  <c r="H15" i="1"/>
  <c r="H16" i="1"/>
  <c r="H12" i="1"/>
  <c r="G13" i="1"/>
  <c r="G14" i="1"/>
  <c r="G15" i="1"/>
  <c r="G17" i="1"/>
  <c r="G12" i="1"/>
  <c r="F13" i="1"/>
  <c r="F14" i="1"/>
  <c r="F16" i="1"/>
  <c r="F17" i="1"/>
  <c r="F12" i="1"/>
  <c r="E13" i="1"/>
  <c r="E15" i="1"/>
  <c r="E16" i="1"/>
  <c r="E17" i="1"/>
  <c r="E12" i="1"/>
  <c r="D14" i="1"/>
  <c r="D15" i="1"/>
  <c r="D16" i="1"/>
  <c r="D17" i="1"/>
  <c r="D12" i="1"/>
  <c r="C17" i="1"/>
  <c r="C16" i="1"/>
  <c r="C15" i="1"/>
  <c r="C14" i="1"/>
  <c r="C13" i="1"/>
  <c r="K32" i="2" l="1"/>
  <c r="L32" i="2" s="1"/>
  <c r="K29" i="2"/>
  <c r="L29" i="2" s="1"/>
  <c r="C37" i="2" s="1"/>
  <c r="C38" i="2" s="1"/>
  <c r="K28" i="2"/>
  <c r="L28" i="2" s="1"/>
  <c r="K20" i="2"/>
  <c r="L20" i="2" s="1"/>
  <c r="K17" i="2"/>
  <c r="L17" i="2" s="1"/>
  <c r="K18" i="2"/>
  <c r="L18" i="2" s="1"/>
  <c r="K16" i="2"/>
  <c r="L16" i="2" s="1"/>
  <c r="K15" i="2"/>
  <c r="L15" i="2" s="1"/>
  <c r="K14" i="2"/>
  <c r="L14" i="2" s="1"/>
  <c r="J14" i="1"/>
  <c r="K14" i="1" s="1"/>
  <c r="J17" i="1"/>
  <c r="K17" i="1" s="1"/>
  <c r="J16" i="1"/>
  <c r="K16" i="1" s="1"/>
  <c r="J13" i="1"/>
  <c r="K13" i="1" s="1"/>
  <c r="J15" i="1"/>
  <c r="K15" i="1" s="1"/>
  <c r="C23" i="2" l="1"/>
  <c r="C24" i="2" s="1"/>
</calcChain>
</file>

<file path=xl/sharedStrings.xml><?xml version="1.0" encoding="utf-8"?>
<sst xmlns="http://schemas.openxmlformats.org/spreadsheetml/2006/main" count="31" uniqueCount="9">
  <si>
    <t>x</t>
  </si>
  <si>
    <t>y</t>
  </si>
  <si>
    <t>i</t>
  </si>
  <si>
    <t>разности</t>
  </si>
  <si>
    <t>D</t>
  </si>
  <si>
    <t>y/D</t>
  </si>
  <si>
    <t>произведение</t>
  </si>
  <si>
    <t>сумма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</si>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</sst>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0000000000"/>
    <numFmt numFmtId="166" formatCode="0.000000000000000"/>
    <numFmt numFmtId="170" formatCode="0.00000"/>
    <numFmt numFmtId="174" formatCode="0.0000"/>
    <numFmt numFmtId="180" formatCode="0.000000000000000000000"/>
    <numFmt numFmtId="182" formatCode="0.000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70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180" fontId="0" fillId="0" borderId="0" xfId="0" applyNumberFormat="1" applyAlignment="1">
      <alignment horizontal="left" vertical="center"/>
    </xf>
    <xf numFmtId="182" fontId="0" fillId="0" borderId="0" xfId="0" applyNumberFormat="1" applyAlignment="1">
      <alignment horizontal="center" vertical="center"/>
    </xf>
    <xf numFmtId="0" fontId="2" fillId="3" borderId="0" xfId="2" applyAlignment="1">
      <alignment horizontal="center" vertical="center"/>
    </xf>
    <xf numFmtId="170" fontId="2" fillId="3" borderId="0" xfId="2" applyNumberFormat="1" applyAlignment="1">
      <alignment horizontal="center" vertical="center"/>
    </xf>
    <xf numFmtId="182" fontId="2" fillId="3" borderId="0" xfId="2" applyNumberFormat="1" applyAlignment="1">
      <alignment horizontal="center" vertical="center"/>
    </xf>
  </cellXfs>
  <cellStyles count="3"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175" zoomScaleNormal="175" workbookViewId="0">
      <selection activeCell="C4" sqref="C4"/>
    </sheetView>
  </sheetViews>
  <sheetFormatPr defaultRowHeight="15" x14ac:dyDescent="0.25"/>
  <cols>
    <col min="1" max="1" width="9.140625" style="1"/>
    <col min="2" max="2" width="15.28515625" style="1" customWidth="1"/>
    <col min="3" max="3" width="19.28515625" style="1" bestFit="1" customWidth="1"/>
    <col min="4" max="9" width="9.140625" style="1"/>
    <col min="10" max="10" width="17.85546875" style="1" customWidth="1"/>
    <col min="11" max="11" width="9.140625" style="1"/>
  </cols>
  <sheetData>
    <row r="1" spans="1:11" x14ac:dyDescent="0.25">
      <c r="A1" s="1" t="s">
        <v>0</v>
      </c>
      <c r="B1" s="1" t="s">
        <v>1</v>
      </c>
    </row>
    <row r="2" spans="1:11" x14ac:dyDescent="0.25">
      <c r="A2" s="17">
        <v>0.43</v>
      </c>
      <c r="B2" s="1">
        <v>1.6359699999999999</v>
      </c>
      <c r="C2" s="1">
        <v>0.73599999999999999</v>
      </c>
    </row>
    <row r="3" spans="1:11" x14ac:dyDescent="0.25">
      <c r="A3" s="17">
        <v>0.48</v>
      </c>
      <c r="B3" s="1">
        <v>1.73234</v>
      </c>
    </row>
    <row r="4" spans="1:11" x14ac:dyDescent="0.25">
      <c r="A4" s="17">
        <v>0.55000000000000004</v>
      </c>
      <c r="B4" s="1">
        <v>1.87686</v>
      </c>
    </row>
    <row r="5" spans="1:11" x14ac:dyDescent="0.25">
      <c r="A5" s="17">
        <v>0.62</v>
      </c>
      <c r="B5" s="1">
        <v>2.0334500000000002</v>
      </c>
    </row>
    <row r="6" spans="1:11" x14ac:dyDescent="0.25">
      <c r="A6" s="17">
        <v>0.7</v>
      </c>
      <c r="B6" s="1">
        <v>2.2284600000000001</v>
      </c>
    </row>
    <row r="7" spans="1:11" x14ac:dyDescent="0.25">
      <c r="A7" s="20">
        <f>C2</f>
        <v>0.73599999999999999</v>
      </c>
      <c r="B7" s="19">
        <v>2.3222117744257238</v>
      </c>
    </row>
    <row r="8" spans="1:11" x14ac:dyDescent="0.25">
      <c r="A8" s="17">
        <v>0.75</v>
      </c>
      <c r="B8" s="1">
        <v>2.3597299999999999</v>
      </c>
    </row>
    <row r="10" spans="1:11" x14ac:dyDescent="0.25">
      <c r="A10" s="1">
        <v>0.73599999999999999</v>
      </c>
    </row>
    <row r="11" spans="1:11" x14ac:dyDescent="0.25">
      <c r="A11" s="2" t="s">
        <v>2</v>
      </c>
      <c r="B11" s="2" t="s">
        <v>0</v>
      </c>
      <c r="C11" s="3" t="s">
        <v>3</v>
      </c>
      <c r="D11" s="3"/>
      <c r="E11" s="3"/>
      <c r="F11" s="3"/>
      <c r="G11" s="3"/>
      <c r="H11" s="3"/>
      <c r="I11" s="2" t="s">
        <v>1</v>
      </c>
      <c r="J11" s="2" t="s">
        <v>4</v>
      </c>
      <c r="K11" s="2" t="s">
        <v>5</v>
      </c>
    </row>
    <row r="12" spans="1:11" x14ac:dyDescent="0.25">
      <c r="A12" s="2">
        <v>0</v>
      </c>
      <c r="B12" s="2">
        <v>0.43</v>
      </c>
      <c r="C12" s="4">
        <f>A10-$B$12</f>
        <v>0.30599999999999999</v>
      </c>
      <c r="D12" s="2">
        <f>B12-$B$13</f>
        <v>-4.9999999999999989E-2</v>
      </c>
      <c r="E12" s="2">
        <f>B12-$B$14</f>
        <v>-0.12000000000000005</v>
      </c>
      <c r="F12" s="2">
        <f>B12-$B$15</f>
        <v>-0.19</v>
      </c>
      <c r="G12" s="2">
        <f>B12-$B$16</f>
        <v>-0.26999999999999996</v>
      </c>
      <c r="H12" s="2">
        <f>B12-$B$17</f>
        <v>-0.32</v>
      </c>
      <c r="I12" s="2">
        <v>1.6359699999999999</v>
      </c>
      <c r="J12" s="5">
        <f>PRODUCT(C12:H12)</f>
        <v>-3.0139776E-5</v>
      </c>
      <c r="K12" s="2">
        <f>I12/J12</f>
        <v>-54279.434591683756</v>
      </c>
    </row>
    <row r="13" spans="1:11" x14ac:dyDescent="0.25">
      <c r="A13" s="2">
        <v>1</v>
      </c>
      <c r="B13" s="2">
        <v>0.48</v>
      </c>
      <c r="C13" s="2">
        <f>B13-$B$12</f>
        <v>4.9999999999999989E-2</v>
      </c>
      <c r="D13" s="4">
        <f>A10-$B$13</f>
        <v>0.25600000000000001</v>
      </c>
      <c r="E13" s="2">
        <f>B13-$B$14</f>
        <v>-7.0000000000000062E-2</v>
      </c>
      <c r="F13" s="2">
        <f>B13-$B$15</f>
        <v>-0.14000000000000001</v>
      </c>
      <c r="G13" s="2">
        <f>B13-$B$16</f>
        <v>-0.21999999999999997</v>
      </c>
      <c r="H13" s="2">
        <f>B13-$B$17</f>
        <v>-0.27</v>
      </c>
      <c r="I13" s="2">
        <v>1.73234</v>
      </c>
      <c r="J13" s="5">
        <f t="shared" ref="J13:J16" si="0">PRODUCT(C13:H13)</f>
        <v>7.4511360000000058E-6</v>
      </c>
      <c r="K13" s="2">
        <f t="shared" ref="K13:K17" si="1">I13/J13</f>
        <v>232493.40771662182</v>
      </c>
    </row>
    <row r="14" spans="1:11" x14ac:dyDescent="0.25">
      <c r="A14" s="2">
        <v>2</v>
      </c>
      <c r="B14" s="2">
        <v>0.55000000000000004</v>
      </c>
      <c r="C14" s="2">
        <f>B14-$B$12</f>
        <v>0.12000000000000005</v>
      </c>
      <c r="D14" s="2">
        <f>B14-$B$13</f>
        <v>7.0000000000000062E-2</v>
      </c>
      <c r="E14" s="4">
        <f>A10-$B$14</f>
        <v>0.18599999999999994</v>
      </c>
      <c r="F14" s="2">
        <f>B14-$B$15</f>
        <v>-6.9999999999999951E-2</v>
      </c>
      <c r="G14" s="2">
        <f>B14-$B$16</f>
        <v>-0.14999999999999991</v>
      </c>
      <c r="H14" s="2">
        <f>B14-$B$17</f>
        <v>-0.19999999999999996</v>
      </c>
      <c r="I14" s="2">
        <v>1.87686</v>
      </c>
      <c r="J14" s="5">
        <f t="shared" si="0"/>
        <v>-3.2810399999999986E-6</v>
      </c>
      <c r="K14" s="2">
        <f t="shared" si="1"/>
        <v>-572032.0386219006</v>
      </c>
    </row>
    <row r="15" spans="1:11" x14ac:dyDescent="0.25">
      <c r="A15" s="2">
        <v>3</v>
      </c>
      <c r="B15" s="2">
        <v>0.62</v>
      </c>
      <c r="C15" s="2">
        <f>B15-$B$12</f>
        <v>0.19</v>
      </c>
      <c r="D15" s="2">
        <f>B15-$B$13</f>
        <v>0.14000000000000001</v>
      </c>
      <c r="E15" s="2">
        <f>B15-$B$14</f>
        <v>6.9999999999999951E-2</v>
      </c>
      <c r="F15" s="4">
        <f>A10-$B$15</f>
        <v>0.11599999999999999</v>
      </c>
      <c r="G15" s="2">
        <f>B15-$B$16</f>
        <v>-7.999999999999996E-2</v>
      </c>
      <c r="H15" s="2">
        <f>B15-$B$17</f>
        <v>-0.13</v>
      </c>
      <c r="I15" s="2">
        <v>2.0334500000000002</v>
      </c>
      <c r="J15" s="5">
        <f t="shared" si="0"/>
        <v>2.2463167999999974E-6</v>
      </c>
      <c r="K15" s="2">
        <f t="shared" si="1"/>
        <v>905237.40907783026</v>
      </c>
    </row>
    <row r="16" spans="1:11" x14ac:dyDescent="0.25">
      <c r="A16" s="2">
        <v>4</v>
      </c>
      <c r="B16" s="2">
        <v>0.7</v>
      </c>
      <c r="C16" s="2">
        <f>B16-$B$12</f>
        <v>0.26999999999999996</v>
      </c>
      <c r="D16" s="2">
        <f>B16-$B$13</f>
        <v>0.21999999999999997</v>
      </c>
      <c r="E16" s="2">
        <f>B16-$B$14</f>
        <v>0.14999999999999991</v>
      </c>
      <c r="F16" s="2">
        <f>B16-$B$15</f>
        <v>7.999999999999996E-2</v>
      </c>
      <c r="G16" s="4">
        <f>A10-$B$16</f>
        <v>3.6000000000000032E-2</v>
      </c>
      <c r="H16" s="2">
        <f>B16-$B$17</f>
        <v>-5.0000000000000044E-2</v>
      </c>
      <c r="I16" s="2">
        <v>2.2284600000000001</v>
      </c>
      <c r="J16" s="5">
        <f t="shared" si="0"/>
        <v>-1.2830400000000005E-6</v>
      </c>
      <c r="K16" s="2">
        <f t="shared" si="1"/>
        <v>-1736859.3340815557</v>
      </c>
    </row>
    <row r="17" spans="1:11" x14ac:dyDescent="0.25">
      <c r="A17" s="2">
        <v>5</v>
      </c>
      <c r="B17" s="2">
        <v>0.75</v>
      </c>
      <c r="C17" s="2">
        <f>B17-$B$12</f>
        <v>0.32</v>
      </c>
      <c r="D17" s="2">
        <f>B17-$B$13</f>
        <v>0.27</v>
      </c>
      <c r="E17" s="2">
        <f>B17-$B$14</f>
        <v>0.19999999999999996</v>
      </c>
      <c r="F17" s="2">
        <f>B17-$B$15</f>
        <v>0.13</v>
      </c>
      <c r="G17" s="2">
        <f>B17-$B$16</f>
        <v>5.0000000000000044E-2</v>
      </c>
      <c r="H17" s="4">
        <f>A10-$B$17</f>
        <v>-1.4000000000000012E-2</v>
      </c>
      <c r="I17" s="2">
        <v>2.3597299999999999</v>
      </c>
      <c r="J17" s="5">
        <f>PRODUCT(C17:H17)</f>
        <v>-1.5724800000000024E-6</v>
      </c>
      <c r="K17" s="2">
        <f t="shared" si="1"/>
        <v>-1500642.2975172952</v>
      </c>
    </row>
    <row r="19" spans="1:11" x14ac:dyDescent="0.25">
      <c r="B19" s="6" t="s">
        <v>6</v>
      </c>
      <c r="C19" s="7">
        <f>C12*D13*E14*F15*G16*H17</f>
        <v>-8.5184947814400117E-7</v>
      </c>
    </row>
    <row r="20" spans="1:11" x14ac:dyDescent="0.25">
      <c r="B20" s="6" t="s">
        <v>7</v>
      </c>
      <c r="C20" s="6">
        <f>SUM(K12:K17)</f>
        <v>-2726082.2880179835</v>
      </c>
    </row>
    <row r="21" spans="1:11" x14ac:dyDescent="0.25">
      <c r="B21" s="6" t="s">
        <v>8</v>
      </c>
      <c r="C21" s="6">
        <f>C20*C19</f>
        <v>2.3222117744257238</v>
      </c>
    </row>
  </sheetData>
  <mergeCells count="1">
    <mergeCell ref="C11:H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882C-7FBC-4B3E-BF4D-73DE724269FA}">
  <dimension ref="A1:L38"/>
  <sheetViews>
    <sheetView zoomScale="160" zoomScaleNormal="160" workbookViewId="0">
      <selection activeCell="C5" sqref="C5"/>
    </sheetView>
  </sheetViews>
  <sheetFormatPr defaultRowHeight="15" x14ac:dyDescent="0.25"/>
  <cols>
    <col min="1" max="1" width="9.140625" style="1"/>
    <col min="2" max="2" width="15.140625" style="1" customWidth="1"/>
    <col min="3" max="3" width="25.85546875" customWidth="1"/>
    <col min="11" max="11" width="22.28515625" customWidth="1"/>
    <col min="12" max="12" width="23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>
        <v>0.29799999999999999</v>
      </c>
      <c r="B2" s="1">
        <v>3.2557800000000001</v>
      </c>
      <c r="C2">
        <v>0.312</v>
      </c>
      <c r="D2">
        <v>0.30399999999999999</v>
      </c>
    </row>
    <row r="3" spans="1:12" x14ac:dyDescent="0.25">
      <c r="A3" s="1">
        <v>0.30299999999999999</v>
      </c>
      <c r="B3" s="1">
        <v>3.17639</v>
      </c>
    </row>
    <row r="4" spans="1:12" x14ac:dyDescent="0.25">
      <c r="A4" s="18">
        <f>D2</f>
        <v>0.30399999999999999</v>
      </c>
      <c r="B4" s="19">
        <v>3.168552012766769</v>
      </c>
    </row>
    <row r="5" spans="1:12" x14ac:dyDescent="0.25">
      <c r="A5" s="17">
        <v>0.31</v>
      </c>
      <c r="B5" s="8">
        <v>3.1217999999999999</v>
      </c>
    </row>
    <row r="6" spans="1:12" x14ac:dyDescent="0.25">
      <c r="A6" s="18">
        <f>C2</f>
        <v>0.312</v>
      </c>
      <c r="B6" s="19">
        <v>3.1021958945829948</v>
      </c>
    </row>
    <row r="7" spans="1:12" x14ac:dyDescent="0.25">
      <c r="A7" s="1">
        <v>0.317</v>
      </c>
      <c r="B7" s="1">
        <v>3.04819</v>
      </c>
    </row>
    <row r="8" spans="1:12" x14ac:dyDescent="0.25">
      <c r="A8" s="1">
        <v>0.32300000000000001</v>
      </c>
      <c r="B8" s="1">
        <v>2.9875500000000001</v>
      </c>
    </row>
    <row r="9" spans="1:12" x14ac:dyDescent="0.25">
      <c r="A9" s="17">
        <v>0.33</v>
      </c>
      <c r="B9" s="8">
        <v>2.9195000000000002</v>
      </c>
    </row>
    <row r="10" spans="1:12" x14ac:dyDescent="0.25">
      <c r="A10" s="1">
        <v>0.33900000000000002</v>
      </c>
      <c r="B10" s="1">
        <v>2.8359800000000002</v>
      </c>
    </row>
    <row r="12" spans="1:12" x14ac:dyDescent="0.25">
      <c r="A12">
        <v>0.312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2" t="s">
        <v>2</v>
      </c>
      <c r="B13" s="2" t="s">
        <v>0</v>
      </c>
      <c r="C13" s="10" t="s">
        <v>3</v>
      </c>
      <c r="D13" s="11"/>
      <c r="E13" s="11"/>
      <c r="F13" s="11"/>
      <c r="G13" s="11"/>
      <c r="H13" s="11"/>
      <c r="I13" s="12"/>
      <c r="J13" s="2" t="s">
        <v>1</v>
      </c>
      <c r="K13" s="2" t="s">
        <v>4</v>
      </c>
      <c r="L13" s="2" t="s">
        <v>5</v>
      </c>
    </row>
    <row r="14" spans="1:12" x14ac:dyDescent="0.25">
      <c r="A14" s="2">
        <v>0</v>
      </c>
      <c r="B14" s="2">
        <v>0.29799999999999999</v>
      </c>
      <c r="C14" s="4">
        <f>A12-$B$14</f>
        <v>1.4000000000000012E-2</v>
      </c>
      <c r="D14" s="2">
        <f>B14-$B$15</f>
        <v>-5.0000000000000044E-3</v>
      </c>
      <c r="E14" s="2">
        <f>B14-$B$16</f>
        <v>-1.2000000000000011E-2</v>
      </c>
      <c r="F14" s="2">
        <f>B14-$B$17</f>
        <v>-1.9000000000000017E-2</v>
      </c>
      <c r="G14" s="2">
        <f>B14-$B$18</f>
        <v>-2.5000000000000022E-2</v>
      </c>
      <c r="H14" s="2">
        <f>B14-$B$19</f>
        <v>-3.2000000000000028E-2</v>
      </c>
      <c r="I14" s="2">
        <f>B14-$B$20</f>
        <v>-4.1000000000000036E-2</v>
      </c>
      <c r="J14" s="2">
        <v>3.2557800000000001</v>
      </c>
      <c r="K14" s="13">
        <f>PRODUCT(C14:I14)</f>
        <v>5.2348800000000331E-13</v>
      </c>
      <c r="L14" s="14">
        <f>J14/K14</f>
        <v>6219397579314.0996</v>
      </c>
    </row>
    <row r="15" spans="1:12" x14ac:dyDescent="0.25">
      <c r="A15" s="2">
        <v>1</v>
      </c>
      <c r="B15" s="2">
        <v>0.30299999999999999</v>
      </c>
      <c r="C15" s="2">
        <f>B15-$B$14</f>
        <v>5.0000000000000044E-3</v>
      </c>
      <c r="D15" s="4">
        <f>A12-$B$15</f>
        <v>9.000000000000008E-3</v>
      </c>
      <c r="E15" s="2">
        <f>B15-$B$16</f>
        <v>-7.0000000000000062E-3</v>
      </c>
      <c r="F15" s="2">
        <f>B15-$B$17</f>
        <v>-1.4000000000000012E-2</v>
      </c>
      <c r="G15" s="2">
        <f>B15-$B$18</f>
        <v>-2.0000000000000018E-2</v>
      </c>
      <c r="H15" s="2">
        <f>B15-$B$19</f>
        <v>-2.7000000000000024E-2</v>
      </c>
      <c r="I15" s="2">
        <f>B15-$B$20</f>
        <v>-3.6000000000000032E-2</v>
      </c>
      <c r="J15" s="2">
        <v>3.17639</v>
      </c>
      <c r="K15" s="13">
        <f t="shared" ref="K15:K20" si="0">PRODUCT(C15:I15)</f>
        <v>-8.5730400000000525E-14</v>
      </c>
      <c r="L15" s="14">
        <f t="shared" ref="L15:L20" si="1">J15/K15</f>
        <v>-37050917760794.078</v>
      </c>
    </row>
    <row r="16" spans="1:12" x14ac:dyDescent="0.25">
      <c r="A16" s="2">
        <v>2</v>
      </c>
      <c r="B16" s="2">
        <v>0.31</v>
      </c>
      <c r="C16" s="2">
        <f>B16-$B$14</f>
        <v>1.2000000000000011E-2</v>
      </c>
      <c r="D16" s="2">
        <f>B16-$B$15</f>
        <v>7.0000000000000062E-3</v>
      </c>
      <c r="E16" s="4">
        <f>A12-$B$16</f>
        <v>2.0000000000000018E-3</v>
      </c>
      <c r="F16" s="2">
        <f>B16-$B$17</f>
        <v>-7.0000000000000062E-3</v>
      </c>
      <c r="G16" s="2">
        <f>B16-$B$18</f>
        <v>-1.3000000000000012E-2</v>
      </c>
      <c r="H16" s="2">
        <f>B16-$B$19</f>
        <v>-2.0000000000000018E-2</v>
      </c>
      <c r="I16" s="2">
        <f>B16-$B$20</f>
        <v>-2.9000000000000026E-2</v>
      </c>
      <c r="J16" s="2">
        <v>3.1217999999999999</v>
      </c>
      <c r="K16" s="13">
        <f t="shared" si="0"/>
        <v>8.8670400000000558E-15</v>
      </c>
      <c r="L16" s="14">
        <f t="shared" si="1"/>
        <v>352067882856058</v>
      </c>
    </row>
    <row r="17" spans="1:12" x14ac:dyDescent="0.25">
      <c r="A17" s="2">
        <v>3</v>
      </c>
      <c r="B17" s="2">
        <v>0.317</v>
      </c>
      <c r="C17" s="2">
        <f>B17-$B$14</f>
        <v>1.9000000000000017E-2</v>
      </c>
      <c r="D17" s="2">
        <f>B17-$B$15</f>
        <v>1.4000000000000012E-2</v>
      </c>
      <c r="E17" s="2">
        <f>B17-$B$16</f>
        <v>7.0000000000000062E-3</v>
      </c>
      <c r="F17" s="4">
        <f>A12-$B$17</f>
        <v>-5.0000000000000044E-3</v>
      </c>
      <c r="G17" s="2">
        <f>B17-$B$18</f>
        <v>-6.0000000000000053E-3</v>
      </c>
      <c r="H17" s="2">
        <f>B17-$B$19</f>
        <v>-1.3000000000000012E-2</v>
      </c>
      <c r="I17" s="2">
        <f>B17-$B$20</f>
        <v>-2.200000000000002E-2</v>
      </c>
      <c r="J17" s="2">
        <v>3.04819</v>
      </c>
      <c r="K17" s="13">
        <f>PRODUCT(C17:I17)</f>
        <v>1.5975960000000098E-14</v>
      </c>
      <c r="L17" s="14">
        <f t="shared" si="1"/>
        <v>190798549821105.03</v>
      </c>
    </row>
    <row r="18" spans="1:12" x14ac:dyDescent="0.25">
      <c r="A18" s="9">
        <v>4</v>
      </c>
      <c r="B18" s="2">
        <v>0.32300000000000001</v>
      </c>
      <c r="C18" s="2">
        <f>B18-$B$14</f>
        <v>2.5000000000000022E-2</v>
      </c>
      <c r="D18" s="2">
        <f>B18-$B$15</f>
        <v>2.0000000000000018E-2</v>
      </c>
      <c r="E18" s="2">
        <f>B18-$B$16</f>
        <v>1.3000000000000012E-2</v>
      </c>
      <c r="F18" s="2">
        <f>B18-$B$17</f>
        <v>6.0000000000000053E-3</v>
      </c>
      <c r="G18" s="4">
        <f>A12-$B$18</f>
        <v>-1.100000000000001E-2</v>
      </c>
      <c r="H18" s="2">
        <f>B18-$B$19</f>
        <v>-7.0000000000000062E-3</v>
      </c>
      <c r="I18" s="2">
        <f>B18-$B$20</f>
        <v>-1.6000000000000014E-2</v>
      </c>
      <c r="J18" s="2">
        <v>2.9875500000000001</v>
      </c>
      <c r="K18" s="13">
        <f t="shared" si="0"/>
        <v>-4.8048000000000298E-14</v>
      </c>
      <c r="L18" s="14">
        <f t="shared" si="1"/>
        <v>-62178446553446.172</v>
      </c>
    </row>
    <row r="19" spans="1:12" x14ac:dyDescent="0.25">
      <c r="A19" s="2">
        <v>5</v>
      </c>
      <c r="B19" s="2">
        <v>0.33</v>
      </c>
      <c r="C19" s="2">
        <f>B19-$B$14</f>
        <v>3.2000000000000028E-2</v>
      </c>
      <c r="D19" s="2">
        <f>B19-$B$15</f>
        <v>2.7000000000000024E-2</v>
      </c>
      <c r="E19" s="2">
        <f>B19-$B$16</f>
        <v>2.0000000000000018E-2</v>
      </c>
      <c r="F19" s="2">
        <f>B19-$B$17</f>
        <v>1.3000000000000012E-2</v>
      </c>
      <c r="G19" s="2">
        <f>B19-$B$18</f>
        <v>7.0000000000000062E-3</v>
      </c>
      <c r="H19" s="4">
        <f>A12-$B$19</f>
        <v>-1.8000000000000016E-2</v>
      </c>
      <c r="I19" s="2">
        <f>B19-$B$20</f>
        <v>-9.000000000000008E-3</v>
      </c>
      <c r="J19" s="2">
        <v>2.9195000000000002</v>
      </c>
      <c r="K19" s="13">
        <f t="shared" si="0"/>
        <v>2.5474176000000153E-13</v>
      </c>
      <c r="L19" s="14">
        <f t="shared" si="1"/>
        <v>11460625851057.881</v>
      </c>
    </row>
    <row r="20" spans="1:12" x14ac:dyDescent="0.25">
      <c r="A20" s="2">
        <v>6</v>
      </c>
      <c r="B20" s="2">
        <v>0.33900000000000002</v>
      </c>
      <c r="C20" s="2">
        <f>B20-$B$14</f>
        <v>4.1000000000000036E-2</v>
      </c>
      <c r="D20" s="2">
        <f>B20-$B$15</f>
        <v>3.6000000000000032E-2</v>
      </c>
      <c r="E20" s="2">
        <f>B20-$B$16</f>
        <v>2.9000000000000026E-2</v>
      </c>
      <c r="F20" s="2">
        <f>B20-$B$17</f>
        <v>2.200000000000002E-2</v>
      </c>
      <c r="G20" s="2">
        <f>B20-$B$18</f>
        <v>1.6000000000000014E-2</v>
      </c>
      <c r="H20" s="2">
        <f>B20-$B$19</f>
        <v>9.000000000000008E-3</v>
      </c>
      <c r="I20" s="4">
        <f>A12-$B$20</f>
        <v>-2.7000000000000024E-2</v>
      </c>
      <c r="J20" s="2">
        <v>2.8359800000000002</v>
      </c>
      <c r="K20" s="13">
        <f t="shared" si="0"/>
        <v>-3.6612829440000228E-12</v>
      </c>
      <c r="L20" s="14">
        <f t="shared" si="1"/>
        <v>-774586406835.20544</v>
      </c>
    </row>
    <row r="21" spans="1:12" x14ac:dyDescent="0.25"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B22" s="6" t="s">
        <v>6</v>
      </c>
      <c r="C22" s="16">
        <f>C14*D15*E16*F17*G18*H19*I20</f>
        <v>6.7359600000000417E-15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B23" s="6" t="s">
        <v>7</v>
      </c>
      <c r="C23" s="15">
        <f>SUM(L14:L20)</f>
        <v>460542505386459.5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B24" s="6" t="s">
        <v>8</v>
      </c>
      <c r="C24" s="6">
        <f>C23*C22</f>
        <v>3.1021958945829948</v>
      </c>
    </row>
    <row r="26" spans="1:12" x14ac:dyDescent="0.25">
      <c r="A26">
        <v>0.30399999999999999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2" t="s">
        <v>2</v>
      </c>
      <c r="B27" s="2" t="s">
        <v>0</v>
      </c>
      <c r="C27" s="10" t="s">
        <v>3</v>
      </c>
      <c r="D27" s="11"/>
      <c r="E27" s="11"/>
      <c r="F27" s="11"/>
      <c r="G27" s="11"/>
      <c r="H27" s="11"/>
      <c r="I27" s="12"/>
      <c r="J27" s="2" t="s">
        <v>1</v>
      </c>
      <c r="K27" s="2" t="s">
        <v>4</v>
      </c>
      <c r="L27" s="2" t="s">
        <v>5</v>
      </c>
    </row>
    <row r="28" spans="1:12" x14ac:dyDescent="0.25">
      <c r="A28" s="2">
        <v>0</v>
      </c>
      <c r="B28" s="2">
        <v>0.29799999999999999</v>
      </c>
      <c r="C28" s="4">
        <f>A26-$B$28</f>
        <v>6.0000000000000053E-3</v>
      </c>
      <c r="D28" s="2">
        <f>B28-$B$29</f>
        <v>-5.0000000000000044E-3</v>
      </c>
      <c r="E28" s="2">
        <f>B28-$B$30</f>
        <v>-1.2000000000000011E-2</v>
      </c>
      <c r="F28" s="2">
        <f>B28-$B$31</f>
        <v>-1.9000000000000017E-2</v>
      </c>
      <c r="G28" s="2">
        <f>B28-$B$32</f>
        <v>-2.5000000000000022E-2</v>
      </c>
      <c r="H28" s="2">
        <f>B28-$B$33</f>
        <v>-3.2000000000000028E-2</v>
      </c>
      <c r="I28" s="2">
        <f>B28-$B$34</f>
        <v>-4.1000000000000036E-2</v>
      </c>
      <c r="J28" s="2">
        <v>3.2557800000000001</v>
      </c>
      <c r="K28" s="13">
        <f>PRODUCT(C28:I28)</f>
        <v>2.2435200000000143E-13</v>
      </c>
      <c r="L28" s="14">
        <f>J28/K28</f>
        <v>14511927685066.232</v>
      </c>
    </row>
    <row r="29" spans="1:12" x14ac:dyDescent="0.25">
      <c r="A29" s="2">
        <v>1</v>
      </c>
      <c r="B29" s="2">
        <v>0.30299999999999999</v>
      </c>
      <c r="C29" s="2">
        <f>B29-$B$28</f>
        <v>5.0000000000000044E-3</v>
      </c>
      <c r="D29" s="4">
        <f>A26-$B$29</f>
        <v>1.0000000000000009E-3</v>
      </c>
      <c r="E29" s="2">
        <f>B29-$B$30</f>
        <v>-7.0000000000000062E-3</v>
      </c>
      <c r="F29" s="2">
        <f>B29-$B$31</f>
        <v>-1.4000000000000012E-2</v>
      </c>
      <c r="G29" s="2">
        <f>B29-$B$32</f>
        <v>-2.0000000000000018E-2</v>
      </c>
      <c r="H29" s="2">
        <f>B29-$B$33</f>
        <v>-2.7000000000000024E-2</v>
      </c>
      <c r="I29" s="2">
        <f>B29-$B$34</f>
        <v>-3.6000000000000032E-2</v>
      </c>
      <c r="J29" s="2">
        <v>3.17639</v>
      </c>
      <c r="K29" s="13">
        <f t="shared" ref="K29:K34" si="2">PRODUCT(C29:I29)</f>
        <v>-9.52560000000006E-15</v>
      </c>
      <c r="L29" s="14">
        <f t="shared" ref="L29:L34" si="3">J29/K29</f>
        <v>-333458259847146.63</v>
      </c>
    </row>
    <row r="30" spans="1:12" x14ac:dyDescent="0.25">
      <c r="A30" s="2">
        <v>2</v>
      </c>
      <c r="B30" s="2">
        <v>0.31</v>
      </c>
      <c r="C30" s="2">
        <f>B30-$B$28</f>
        <v>1.2000000000000011E-2</v>
      </c>
      <c r="D30" s="2">
        <f>B30-$B$29</f>
        <v>7.0000000000000062E-3</v>
      </c>
      <c r="E30" s="4">
        <f>A26-$B$30</f>
        <v>-6.0000000000000053E-3</v>
      </c>
      <c r="F30" s="2">
        <f>B30-$B$31</f>
        <v>-7.0000000000000062E-3</v>
      </c>
      <c r="G30" s="2">
        <f>B30-$B$32</f>
        <v>-1.3000000000000012E-2</v>
      </c>
      <c r="H30" s="2">
        <f>B30-$B$33</f>
        <v>-2.0000000000000018E-2</v>
      </c>
      <c r="I30" s="2">
        <f>B30-$B$34</f>
        <v>-2.9000000000000026E-2</v>
      </c>
      <c r="J30" s="2">
        <v>3.1217999999999999</v>
      </c>
      <c r="K30" s="13">
        <f t="shared" si="2"/>
        <v>-2.6601120000000166E-14</v>
      </c>
      <c r="L30" s="14">
        <f t="shared" si="3"/>
        <v>-117355960952019.33</v>
      </c>
    </row>
    <row r="31" spans="1:12" x14ac:dyDescent="0.25">
      <c r="A31" s="2">
        <v>3</v>
      </c>
      <c r="B31" s="2">
        <v>0.317</v>
      </c>
      <c r="C31" s="2">
        <f>B31-$B$28</f>
        <v>1.9000000000000017E-2</v>
      </c>
      <c r="D31" s="2">
        <f>B31-$B$29</f>
        <v>1.4000000000000012E-2</v>
      </c>
      <c r="E31" s="2">
        <f>B31-$B$30</f>
        <v>7.0000000000000062E-3</v>
      </c>
      <c r="F31" s="4">
        <f>A26-$B$31</f>
        <v>-1.3000000000000012E-2</v>
      </c>
      <c r="G31" s="2">
        <f>B31-$B$32</f>
        <v>-6.0000000000000053E-3</v>
      </c>
      <c r="H31" s="2">
        <f>B31-$B$33</f>
        <v>-1.3000000000000012E-2</v>
      </c>
      <c r="I31" s="2">
        <f>B31-$B$34</f>
        <v>-2.200000000000002E-2</v>
      </c>
      <c r="J31" s="2">
        <v>3.04819</v>
      </c>
      <c r="K31" s="13">
        <f>PRODUCT(C31:I31)</f>
        <v>4.153749600000026E-14</v>
      </c>
      <c r="L31" s="14">
        <f t="shared" si="3"/>
        <v>73384057623501.922</v>
      </c>
    </row>
    <row r="32" spans="1:12" x14ac:dyDescent="0.25">
      <c r="A32" s="9">
        <v>4</v>
      </c>
      <c r="B32" s="2">
        <v>0.32300000000000001</v>
      </c>
      <c r="C32" s="2">
        <f>B32-$B$28</f>
        <v>2.5000000000000022E-2</v>
      </c>
      <c r="D32" s="2">
        <f>B32-$B$29</f>
        <v>2.0000000000000018E-2</v>
      </c>
      <c r="E32" s="2">
        <f>B32-$B$30</f>
        <v>1.3000000000000012E-2</v>
      </c>
      <c r="F32" s="2">
        <f>B32-$B$31</f>
        <v>6.0000000000000053E-3</v>
      </c>
      <c r="G32" s="4">
        <f>A26-$B$32</f>
        <v>-1.9000000000000017E-2</v>
      </c>
      <c r="H32" s="2">
        <f>B32-$B$33</f>
        <v>-7.0000000000000062E-3</v>
      </c>
      <c r="I32" s="2">
        <f>B32-$B$34</f>
        <v>-1.6000000000000014E-2</v>
      </c>
      <c r="J32" s="2">
        <v>2.9875500000000001</v>
      </c>
      <c r="K32" s="13">
        <f t="shared" ref="K32:K37" si="4">PRODUCT(C32:I32)</f>
        <v>-8.2992000000000506E-14</v>
      </c>
      <c r="L32" s="14">
        <f t="shared" si="3"/>
        <v>-35998048004626.734</v>
      </c>
    </row>
    <row r="33" spans="1:12" x14ac:dyDescent="0.25">
      <c r="A33" s="2">
        <v>5</v>
      </c>
      <c r="B33" s="2">
        <v>0.33</v>
      </c>
      <c r="C33" s="2">
        <f>B33-$B$28</f>
        <v>3.2000000000000028E-2</v>
      </c>
      <c r="D33" s="2">
        <f>B33-$B$29</f>
        <v>2.7000000000000024E-2</v>
      </c>
      <c r="E33" s="2">
        <f>B33-$B$30</f>
        <v>2.0000000000000018E-2</v>
      </c>
      <c r="F33" s="2">
        <f>B33-$B$31</f>
        <v>1.3000000000000012E-2</v>
      </c>
      <c r="G33" s="2">
        <f>B33-$B$32</f>
        <v>7.0000000000000062E-3</v>
      </c>
      <c r="H33" s="4">
        <f>A26-$B$33</f>
        <v>-2.6000000000000023E-2</v>
      </c>
      <c r="I33" s="2">
        <f>B33-$B$34</f>
        <v>-9.000000000000008E-3</v>
      </c>
      <c r="J33" s="2">
        <v>2.9195000000000002</v>
      </c>
      <c r="K33" s="13">
        <f t="shared" si="4"/>
        <v>3.6796032000000224E-13</v>
      </c>
      <c r="L33" s="14">
        <f t="shared" si="3"/>
        <v>7934279435347.7637</v>
      </c>
    </row>
    <row r="34" spans="1:12" x14ac:dyDescent="0.25">
      <c r="A34" s="2">
        <v>6</v>
      </c>
      <c r="B34" s="2">
        <v>0.33900000000000002</v>
      </c>
      <c r="C34" s="2">
        <f>B34-$B$28</f>
        <v>4.1000000000000036E-2</v>
      </c>
      <c r="D34" s="2">
        <f>B34-$B$29</f>
        <v>3.6000000000000032E-2</v>
      </c>
      <c r="E34" s="2">
        <f>B34-$B$30</f>
        <v>2.9000000000000026E-2</v>
      </c>
      <c r="F34" s="2">
        <f>B34-$B$31</f>
        <v>2.200000000000002E-2</v>
      </c>
      <c r="G34" s="2">
        <f>B34-$B$32</f>
        <v>1.6000000000000014E-2</v>
      </c>
      <c r="H34" s="2">
        <f>B34-$B$33</f>
        <v>9.000000000000008E-3</v>
      </c>
      <c r="I34" s="4">
        <f>A26-$B$34</f>
        <v>-3.5000000000000031E-2</v>
      </c>
      <c r="J34" s="2">
        <v>2.8359800000000002</v>
      </c>
      <c r="K34" s="13">
        <f t="shared" si="4"/>
        <v>-4.7461075200000293E-12</v>
      </c>
      <c r="L34" s="14">
        <f t="shared" si="3"/>
        <v>-597538085272.8728</v>
      </c>
    </row>
    <row r="35" spans="1:12" x14ac:dyDescent="0.25"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B36" s="6" t="s">
        <v>6</v>
      </c>
      <c r="C36" s="16">
        <f>C28*D29*E30*F31*G32*H33*I34</f>
        <v>-8.0917200000000486E-15</v>
      </c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B37" s="6" t="s">
        <v>7</v>
      </c>
      <c r="C37" s="15">
        <f>SUM(L28:L34)</f>
        <v>-391579542145149.63</v>
      </c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B38" s="6" t="s">
        <v>8</v>
      </c>
      <c r="C38" s="6">
        <f>C37*C36</f>
        <v>3.168552012766769</v>
      </c>
    </row>
  </sheetData>
  <mergeCells count="2">
    <mergeCell ref="C13:I13"/>
    <mergeCell ref="C27:I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2023-05-17T06:40:48Z</dcterms:modified>
</cp:coreProperties>
</file>