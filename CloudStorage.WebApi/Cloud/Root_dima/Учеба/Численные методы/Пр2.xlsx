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студенты\21ИС-5\Сорокин\"/>
    </mc:Choice>
  </mc:AlternateContent>
  <xr:revisionPtr revIDLastSave="0" documentId="13_ncr:1_{72B489CB-5E5C-42B0-867D-0E195E868715}" xr6:coauthVersionLast="45" xr6:coauthVersionMax="45" xr10:uidLastSave="{00000000-0000-0000-0000-000000000000}"/>
  <bookViews>
    <workbookView xWindow="17940" yWindow="5055" windowWidth="21600" windowHeight="11385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2" l="1"/>
  <c r="D8" i="2" s="1"/>
  <c r="D6" i="2"/>
  <c r="E6" i="2" s="1"/>
  <c r="F6" i="2"/>
  <c r="E7" i="2"/>
  <c r="F7" i="2"/>
  <c r="F5" i="2"/>
  <c r="E5" i="2"/>
  <c r="D5" i="2"/>
  <c r="D5" i="1"/>
  <c r="F8" i="2" l="1"/>
  <c r="E8" i="2"/>
  <c r="E5" i="1"/>
  <c r="F5" i="1"/>
  <c r="D6" i="1" l="1"/>
  <c r="F6" i="1"/>
  <c r="E6" i="1"/>
  <c r="D7" i="1" l="1"/>
  <c r="E7" i="1" l="1"/>
  <c r="F7" i="1"/>
  <c r="D8" i="1" l="1"/>
  <c r="E8" i="1" l="1"/>
  <c r="F8" i="1"/>
  <c r="D9" i="1" l="1"/>
  <c r="E9" i="1" l="1"/>
  <c r="F9" i="1"/>
</calcChain>
</file>

<file path=xl/sharedStrings.xml><?xml version="1.0" encoding="utf-8"?>
<sst xmlns="http://schemas.openxmlformats.org/spreadsheetml/2006/main" count="14" uniqueCount="7">
  <si>
    <t>[-1;0]</t>
  </si>
  <si>
    <t>№п/п</t>
  </si>
  <si>
    <t>xn</t>
  </si>
  <si>
    <t>f(xn)</t>
  </si>
  <si>
    <t>an</t>
  </si>
  <si>
    <t>bn</t>
  </si>
  <si>
    <t>f'(xn)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</si>
</sst>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164" fontId="0" fillId="0" borderId="1" xfId="0" applyNumberFormat="1" applyFill="1" applyBorder="1" applyAlignment="1">
      <alignment horizontal="left" vertical="top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4" fontId="0" fillId="2" borderId="1" xfId="0" applyNumberFormat="1" applyFill="1" applyBorder="1"/>
    <xf numFmtId="164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59872</xdr:colOff>
      <xdr:row>0</xdr:row>
      <xdr:rowOff>48986</xdr:rowOff>
    </xdr:from>
    <xdr:ext cx="164154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FCAE659-C4C1-4526-BF81-C8AD076F0D03}"/>
                </a:ext>
              </a:extLst>
            </xdr:cNvPr>
            <xdr:cNvSpPr txBox="1"/>
          </xdr:nvSpPr>
          <xdr:spPr>
            <a:xfrm>
              <a:off x="59872" y="48986"/>
              <a:ext cx="164154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tan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0,47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+0,2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</m:e>
                    </m:func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FCAE659-C4C1-4526-BF81-C8AD076F0D03}"/>
                </a:ext>
              </a:extLst>
            </xdr:cNvPr>
            <xdr:cNvSpPr txBox="1"/>
          </xdr:nvSpPr>
          <xdr:spPr>
            <a:xfrm>
              <a:off x="59872" y="48986"/>
              <a:ext cx="164154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tan⁡〖(0,47𝑥+0,2)−〗  𝑥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2=0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54429</xdr:colOff>
      <xdr:row>2</xdr:row>
      <xdr:rowOff>54428</xdr:rowOff>
    </xdr:from>
    <xdr:ext cx="2035621" cy="3419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FE2A5D2-35D4-408E-8CF1-3498965C6748}"/>
                </a:ext>
              </a:extLst>
            </xdr:cNvPr>
            <xdr:cNvSpPr txBox="1"/>
          </xdr:nvSpPr>
          <xdr:spPr>
            <a:xfrm>
              <a:off x="54429" y="522514"/>
              <a:ext cx="2035621" cy="3419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𝑥𝑛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0,47</m:t>
                        </m:r>
                      </m:num>
                      <m:den>
                        <m:func>
                          <m:func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𝑐𝑜𝑠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fName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0,47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+0,2</m:t>
                                </m:r>
                              </m:e>
                            </m:d>
                          </m:e>
                        </m:func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−2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FE2A5D2-35D4-408E-8CF1-3498965C6748}"/>
                </a:ext>
              </a:extLst>
            </xdr:cNvPr>
            <xdr:cNvSpPr txBox="1"/>
          </xdr:nvSpPr>
          <xdr:spPr>
            <a:xfrm>
              <a:off x="54429" y="522514"/>
              <a:ext cx="2035621" cy="3419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𝑓^′ (𝑥𝑛)=0,47/〖𝑐𝑜𝑠〗^2⁡(0,47𝑥+0,2) −2𝑥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70757</xdr:colOff>
      <xdr:row>0</xdr:row>
      <xdr:rowOff>59872</xdr:rowOff>
    </xdr:from>
    <xdr:ext cx="172932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059066C-5DE7-4255-A8D7-2754D53AC370}"/>
                </a:ext>
              </a:extLst>
            </xdr:cNvPr>
            <xdr:cNvSpPr txBox="1"/>
          </xdr:nvSpPr>
          <xdr:spPr>
            <a:xfrm>
              <a:off x="70757" y="59872"/>
              <a:ext cx="172932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−0,2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+0,3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+1,2=0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059066C-5DE7-4255-A8D7-2754D53AC370}"/>
                </a:ext>
              </a:extLst>
            </xdr:cNvPr>
            <xdr:cNvSpPr txBox="1"/>
          </xdr:nvSpPr>
          <xdr:spPr>
            <a:xfrm>
              <a:off x="70757" y="59872"/>
              <a:ext cx="172932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3−0,2𝑥^2+0,3𝑥+1,2=0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114301</xdr:colOff>
      <xdr:row>2</xdr:row>
      <xdr:rowOff>35379</xdr:rowOff>
    </xdr:from>
    <xdr:ext cx="1651862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20FA682-0366-49DA-893B-ABC949CADE1E}"/>
                </a:ext>
              </a:extLst>
            </xdr:cNvPr>
            <xdr:cNvSpPr txBox="1"/>
          </xdr:nvSpPr>
          <xdr:spPr>
            <a:xfrm>
              <a:off x="114301" y="514350"/>
              <a:ext cx="165186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𝑥𝑛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 3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−0,4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+0,3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20FA682-0366-49DA-893B-ABC949CADE1E}"/>
                </a:ext>
              </a:extLst>
            </xdr:cNvPr>
            <xdr:cNvSpPr txBox="1"/>
          </xdr:nvSpPr>
          <xdr:spPr>
            <a:xfrm>
              <a:off x="114301" y="514350"/>
              <a:ext cx="165186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𝑓^′ (𝑥𝑛)= 3𝑥^2−0,4x+0,3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75" zoomScaleNormal="175" workbookViewId="0">
      <selection activeCell="C3" sqref="C3"/>
    </sheetView>
  </sheetViews>
  <sheetFormatPr defaultRowHeight="15" x14ac:dyDescent="0.25"/>
  <cols>
    <col min="1" max="1" width="33.5703125" customWidth="1"/>
    <col min="2" max="6" width="9.140625" style="5"/>
  </cols>
  <sheetData>
    <row r="1" spans="1:6" ht="21.75" customHeight="1" x14ac:dyDescent="0.25"/>
    <row r="2" spans="1:6" x14ac:dyDescent="0.25">
      <c r="A2" t="s">
        <v>0</v>
      </c>
    </row>
    <row r="3" spans="1:6" ht="36" customHeight="1" x14ac:dyDescent="0.25">
      <c r="A3" s="1"/>
    </row>
    <row r="4" spans="1:6" x14ac:dyDescent="0.25">
      <c r="A4" s="2" t="s">
        <v>1</v>
      </c>
      <c r="B4" s="3" t="s">
        <v>4</v>
      </c>
      <c r="C4" s="3" t="s">
        <v>5</v>
      </c>
      <c r="D4" s="3" t="s">
        <v>2</v>
      </c>
      <c r="E4" s="3" t="s">
        <v>3</v>
      </c>
      <c r="F4" s="4" t="s">
        <v>6</v>
      </c>
    </row>
    <row r="5" spans="1:6" x14ac:dyDescent="0.25">
      <c r="A5" s="6">
        <v>0</v>
      </c>
      <c r="B5" s="7">
        <v>-1</v>
      </c>
      <c r="C5" s="7">
        <v>0</v>
      </c>
      <c r="D5" s="7">
        <f>B5</f>
        <v>-1</v>
      </c>
      <c r="E5" s="7">
        <f>TAN(0.47*D5+0.2) - D5^2</f>
        <v>-1.2767581358750304</v>
      </c>
      <c r="F5" s="7">
        <f>(0.47/((COS(0.47*D5+0.2))^2)) - 2*D5</f>
        <v>2.5059996809133205</v>
      </c>
    </row>
    <row r="6" spans="1:6" x14ac:dyDescent="0.25">
      <c r="A6" s="6">
        <v>1</v>
      </c>
      <c r="B6" s="7"/>
      <c r="C6" s="7"/>
      <c r="D6" s="7">
        <f>D5-E5/F5</f>
        <v>-0.49051943398104847</v>
      </c>
      <c r="E6" s="7">
        <f t="shared" ref="E6:E15" si="0">TAN(0.47*D6+0.2) - D6^2</f>
        <v>-0.2711629512869364</v>
      </c>
      <c r="F6" s="7">
        <f t="shared" ref="F6:F15" si="1">(0.47/((COS(0.47*D6+0.2))^2)) - 2*D6</f>
        <v>1.4514776245633156</v>
      </c>
    </row>
    <row r="7" spans="1:6" x14ac:dyDescent="0.25">
      <c r="A7" s="6">
        <v>2</v>
      </c>
      <c r="B7" s="7"/>
      <c r="C7" s="7"/>
      <c r="D7" s="7">
        <f t="shared" ref="D7:D15" si="2">D6-E6/F6</f>
        <v>-0.30370087977252791</v>
      </c>
      <c r="E7" s="7">
        <f t="shared" si="0"/>
        <v>-3.4910974160276081E-2</v>
      </c>
      <c r="F7" s="7">
        <f t="shared" si="1"/>
        <v>1.0789461584021693</v>
      </c>
    </row>
    <row r="8" spans="1:6" x14ac:dyDescent="0.25">
      <c r="A8" s="6">
        <v>3</v>
      </c>
      <c r="B8" s="7"/>
      <c r="C8" s="7"/>
      <c r="D8" s="7">
        <f t="shared" si="2"/>
        <v>-0.27134433084892234</v>
      </c>
      <c r="E8" s="7">
        <f t="shared" si="0"/>
        <v>-1.0324555489854975E-3</v>
      </c>
      <c r="F8" s="7">
        <f t="shared" si="1"/>
        <v>1.0151655975018823</v>
      </c>
    </row>
    <row r="9" spans="1:6" x14ac:dyDescent="0.25">
      <c r="A9" s="6">
        <v>4</v>
      </c>
      <c r="B9" s="7"/>
      <c r="C9" s="7"/>
      <c r="D9" s="8">
        <f t="shared" si="2"/>
        <v>-0.27032729919268206</v>
      </c>
      <c r="E9" s="9">
        <f t="shared" si="0"/>
        <v>-1.0176415937979133E-6</v>
      </c>
      <c r="F9" s="7">
        <f t="shared" si="1"/>
        <v>1.0131644346144875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A299B-90F1-4410-A735-5E24238A146F}">
  <dimension ref="A1:F8"/>
  <sheetViews>
    <sheetView zoomScale="160" zoomScaleNormal="160" workbookViewId="0">
      <selection activeCell="D9" sqref="D9"/>
    </sheetView>
  </sheetViews>
  <sheetFormatPr defaultRowHeight="15" x14ac:dyDescent="0.25"/>
  <cols>
    <col min="1" max="1" width="28" customWidth="1"/>
    <col min="2" max="6" width="9.140625" style="5"/>
  </cols>
  <sheetData>
    <row r="1" spans="1:6" ht="22.5" customHeight="1" x14ac:dyDescent="0.25"/>
    <row r="2" spans="1:6" x14ac:dyDescent="0.25">
      <c r="A2" t="s">
        <v>0</v>
      </c>
    </row>
    <row r="3" spans="1:6" ht="19.5" customHeight="1" x14ac:dyDescent="0.25"/>
    <row r="4" spans="1:6" x14ac:dyDescent="0.25">
      <c r="A4" s="2" t="s">
        <v>1</v>
      </c>
      <c r="B4" s="3" t="s">
        <v>4</v>
      </c>
      <c r="C4" s="3" t="s">
        <v>5</v>
      </c>
      <c r="D4" s="3" t="s">
        <v>2</v>
      </c>
      <c r="E4" s="3" t="s">
        <v>3</v>
      </c>
      <c r="F4" s="4" t="s">
        <v>6</v>
      </c>
    </row>
    <row r="5" spans="1:6" x14ac:dyDescent="0.25">
      <c r="A5" s="6">
        <v>0</v>
      </c>
      <c r="B5" s="7">
        <v>-1</v>
      </c>
      <c r="C5" s="7">
        <v>0</v>
      </c>
      <c r="D5" s="7">
        <f>B5</f>
        <v>-1</v>
      </c>
      <c r="E5" s="7">
        <f>D5^3 - 0.2*(D5^2) + 0.3*D5 + 1.2</f>
        <v>-0.30000000000000004</v>
      </c>
      <c r="F5" s="7">
        <f>3*(D5^2) - 0.4*D5 + 0.3</f>
        <v>3.6999999999999997</v>
      </c>
    </row>
    <row r="6" spans="1:6" x14ac:dyDescent="0.25">
      <c r="A6" s="6">
        <v>1</v>
      </c>
      <c r="B6" s="7"/>
      <c r="C6" s="7"/>
      <c r="D6" s="7">
        <f>D5-E5/F5</f>
        <v>-0.91891891891891886</v>
      </c>
      <c r="E6" s="7">
        <f t="shared" ref="E6:E15" si="0">D6^3 - 0.2*(D6^2) + 0.3*D6 + 1.2</f>
        <v>-2.0504214952717259E-2</v>
      </c>
      <c r="F6" s="7">
        <f t="shared" ref="F6:F15" si="1">3*(D6^2) - 0.4*D6 + 0.3</f>
        <v>3.2008035062089109</v>
      </c>
    </row>
    <row r="7" spans="1:6" x14ac:dyDescent="0.25">
      <c r="A7" s="6">
        <v>2</v>
      </c>
      <c r="B7" s="7"/>
      <c r="C7" s="7"/>
      <c r="D7" s="7">
        <f t="shared" ref="D7:D15" si="2">D6-E6/F6</f>
        <v>-0.91251296025480744</v>
      </c>
      <c r="E7" s="7">
        <f t="shared" si="0"/>
        <v>-1.2107149935669526E-4</v>
      </c>
      <c r="F7" s="7">
        <f t="shared" si="1"/>
        <v>3.1630448920008982</v>
      </c>
    </row>
    <row r="8" spans="1:6" x14ac:dyDescent="0.25">
      <c r="A8" s="6">
        <v>3</v>
      </c>
      <c r="B8" s="7"/>
      <c r="C8" s="7"/>
      <c r="D8" s="8">
        <f t="shared" si="2"/>
        <v>-0.91247468337177529</v>
      </c>
      <c r="E8" s="9">
        <f t="shared" si="0"/>
        <v>-4.3037904351450607E-9</v>
      </c>
      <c r="F8" s="7">
        <f t="shared" si="1"/>
        <v>3.1628200167319749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S.S.</dc:creator>
  <cp:lastModifiedBy>Student S.S.</cp:lastModifiedBy>
  <dcterms:created xsi:type="dcterms:W3CDTF">2015-06-05T18:19:34Z</dcterms:created>
  <dcterms:modified xsi:type="dcterms:W3CDTF">2023-02-09T08:36:25Z</dcterms:modified>
</cp:coreProperties>
</file>