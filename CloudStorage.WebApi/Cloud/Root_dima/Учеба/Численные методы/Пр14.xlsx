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студенты\21ИС-5\Сорокин\"/>
    </mc:Choice>
  </mc:AlternateContent>
  <xr:revisionPtr revIDLastSave="0" documentId="13_ncr:1_{AE650F5F-B714-462E-9A47-606236F981A8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Задание 1 Метод 1" sheetId="1" r:id="rId1"/>
    <sheet name="Задание 1 Метод 2" sheetId="3" r:id="rId2"/>
    <sheet name="Задание 2 Метод 1" sheetId="2" r:id="rId3"/>
    <sheet name="Задание 2 Метод 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0" i="4" l="1"/>
  <c r="F20" i="3"/>
  <c r="C8" i="4"/>
  <c r="C9" i="4"/>
  <c r="C10" i="4"/>
  <c r="C11" i="4"/>
  <c r="D11" i="4" s="1"/>
  <c r="F11" i="4" s="1"/>
  <c r="C12" i="4"/>
  <c r="C13" i="4"/>
  <c r="C14" i="4"/>
  <c r="C15" i="4"/>
  <c r="D15" i="4" s="1"/>
  <c r="F15" i="4" s="1"/>
  <c r="C16" i="4"/>
  <c r="C17" i="4"/>
  <c r="C7" i="4"/>
  <c r="D7" i="4" s="1"/>
  <c r="F13" i="4"/>
  <c r="E17" i="4"/>
  <c r="E16" i="4"/>
  <c r="E15" i="4"/>
  <c r="E14" i="4"/>
  <c r="E13" i="4"/>
  <c r="E12" i="4"/>
  <c r="E11" i="4"/>
  <c r="E10" i="4"/>
  <c r="E9" i="4"/>
  <c r="E8" i="4"/>
  <c r="D14" i="4"/>
  <c r="F14" i="4" s="1"/>
  <c r="D13" i="4"/>
  <c r="D12" i="4"/>
  <c r="F12" i="4" s="1"/>
  <c r="D17" i="4"/>
  <c r="F17" i="4" s="1"/>
  <c r="D16" i="4"/>
  <c r="F16" i="4" s="1"/>
  <c r="D10" i="4"/>
  <c r="F10" i="4" s="1"/>
  <c r="D9" i="4"/>
  <c r="F9" i="4" s="1"/>
  <c r="D8" i="4"/>
  <c r="F8" i="4" s="1"/>
  <c r="C9" i="3"/>
  <c r="F7" i="3"/>
  <c r="F8" i="3"/>
  <c r="F9" i="3"/>
  <c r="F10" i="3"/>
  <c r="F11" i="3"/>
  <c r="F12" i="3"/>
  <c r="F13" i="3"/>
  <c r="F14" i="3"/>
  <c r="F15" i="3"/>
  <c r="F16" i="3"/>
  <c r="F17" i="3"/>
  <c r="E17" i="3"/>
  <c r="C8" i="3"/>
  <c r="C10" i="3"/>
  <c r="C11" i="3"/>
  <c r="E11" i="3" s="1"/>
  <c r="C12" i="3"/>
  <c r="C13" i="3"/>
  <c r="C14" i="3"/>
  <c r="C15" i="3"/>
  <c r="E15" i="3" s="1"/>
  <c r="C16" i="3"/>
  <c r="C17" i="3"/>
  <c r="C7" i="3"/>
  <c r="E7" i="3" s="1"/>
  <c r="D8" i="3"/>
  <c r="D12" i="3"/>
  <c r="D16" i="3"/>
  <c r="E9" i="3"/>
  <c r="E10" i="3"/>
  <c r="E13" i="3"/>
  <c r="E14" i="3"/>
  <c r="D9" i="3"/>
  <c r="D10" i="3"/>
  <c r="D11" i="3"/>
  <c r="D13" i="3"/>
  <c r="D14" i="3"/>
  <c r="D17" i="3"/>
  <c r="B5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5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E21" i="2"/>
  <c r="E20" i="2"/>
  <c r="E19" i="2"/>
  <c r="E21" i="1"/>
  <c r="E20" i="1"/>
  <c r="E8" i="2"/>
  <c r="E9" i="2"/>
  <c r="E10" i="2"/>
  <c r="E11" i="2"/>
  <c r="E12" i="2"/>
  <c r="E13" i="2"/>
  <c r="E14" i="2"/>
  <c r="E15" i="2"/>
  <c r="E16" i="2"/>
  <c r="E17" i="2"/>
  <c r="E7" i="2"/>
  <c r="D8" i="2"/>
  <c r="D9" i="2"/>
  <c r="D10" i="2"/>
  <c r="D11" i="2"/>
  <c r="D12" i="2"/>
  <c r="D13" i="2"/>
  <c r="D14" i="2"/>
  <c r="D15" i="2"/>
  <c r="D16" i="2"/>
  <c r="D17" i="2"/>
  <c r="D7" i="2"/>
  <c r="C14" i="2"/>
  <c r="C8" i="2"/>
  <c r="C9" i="2"/>
  <c r="C10" i="2"/>
  <c r="C11" i="2"/>
  <c r="C12" i="2"/>
  <c r="C13" i="2"/>
  <c r="C15" i="2"/>
  <c r="C16" i="2"/>
  <c r="C17" i="2"/>
  <c r="C7" i="2"/>
  <c r="B9" i="2"/>
  <c r="B10" i="2" s="1"/>
  <c r="B11" i="2" s="1"/>
  <c r="B12" i="2" s="1"/>
  <c r="B13" i="2" s="1"/>
  <c r="B14" i="2" s="1"/>
  <c r="B15" i="2" s="1"/>
  <c r="B16" i="2" s="1"/>
  <c r="B17" i="2" s="1"/>
  <c r="B8" i="2"/>
  <c r="B5" i="1"/>
  <c r="B5" i="2"/>
  <c r="D7" i="1"/>
  <c r="C7" i="1"/>
  <c r="E7" i="1" s="1"/>
  <c r="E7" i="4" l="1"/>
  <c r="F7" i="4" s="1"/>
  <c r="D15" i="3"/>
  <c r="E8" i="3"/>
  <c r="E16" i="3"/>
  <c r="E12" i="3"/>
  <c r="D7" i="3"/>
  <c r="B8" i="1"/>
  <c r="D8" i="1" l="1"/>
  <c r="C8" i="1"/>
  <c r="B9" i="1"/>
  <c r="E8" i="1" l="1"/>
  <c r="B10" i="1"/>
  <c r="D9" i="1"/>
  <c r="C9" i="1"/>
  <c r="E9" i="1" s="1"/>
  <c r="B11" i="1" l="1"/>
  <c r="D10" i="1"/>
  <c r="C10" i="1"/>
  <c r="E10" i="1" s="1"/>
  <c r="B12" i="1" l="1"/>
  <c r="C11" i="1"/>
  <c r="D11" i="1"/>
  <c r="E11" i="1" l="1"/>
  <c r="B13" i="1"/>
  <c r="D12" i="1"/>
  <c r="C12" i="1"/>
  <c r="E12" i="1" s="1"/>
  <c r="B14" i="1" l="1"/>
  <c r="D13" i="1"/>
  <c r="C13" i="1"/>
  <c r="E13" i="1" s="1"/>
  <c r="B15" i="1" l="1"/>
  <c r="C14" i="1"/>
  <c r="E14" i="1" s="1"/>
  <c r="D14" i="1"/>
  <c r="B16" i="1" l="1"/>
  <c r="C15" i="1"/>
  <c r="D15" i="1"/>
  <c r="E15" i="1" l="1"/>
  <c r="B17" i="1"/>
  <c r="C16" i="1"/>
  <c r="D16" i="1"/>
  <c r="E16" i="1" l="1"/>
  <c r="E19" i="1" s="1"/>
  <c r="C17" i="1"/>
  <c r="D17" i="1"/>
  <c r="E17" i="1" l="1"/>
</calcChain>
</file>

<file path=xl/sharedStrings.xml><?xml version="1.0" encoding="utf-8"?>
<sst xmlns="http://schemas.openxmlformats.org/spreadsheetml/2006/main" count="26" uniqueCount="9">
  <si>
    <t>h</t>
  </si>
  <si>
    <t>i</t>
  </si>
  <si>
    <t>xi</t>
  </si>
  <si>
    <t>yi=f(xi)</t>
  </si>
  <si>
    <t>левые прямоугольники</t>
  </si>
  <si>
    <t>правые прямоугольники</t>
  </si>
  <si>
    <t>метод прямоугольников</t>
  </si>
  <si>
    <t>xi+h/2</t>
  </si>
  <si>
    <t>сред. прямоугольник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</si>
</sst>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1" fillId="2" borderId="0" xfId="1" applyNumberFormat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106135</xdr:rowOff>
    </xdr:from>
    <xdr:ext cx="1348318" cy="4396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ECED96-2673-43E6-8A4B-17827C47B14B}"/>
                </a:ext>
              </a:extLst>
            </xdr:cNvPr>
            <xdr:cNvSpPr txBox="1"/>
          </xdr:nvSpPr>
          <xdr:spPr>
            <a:xfrm>
              <a:off x="114300" y="106135"/>
              <a:ext cx="1348318" cy="439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0,6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2,2</m:t>
                        </m:r>
                      </m:sup>
                      <m:e>
                        <m:f>
                          <m:f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ad>
                              <m:radPr>
                                <m:degHide m:val="on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1,5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e>
                            </m:rad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𝑑𝑥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1,2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+1,8</m:t>
                                </m:r>
                              </m:e>
                            </m:rad>
                          </m:den>
                        </m:f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ECED96-2673-43E6-8A4B-17827C47B14B}"/>
                </a:ext>
              </a:extLst>
            </xdr:cNvPr>
            <xdr:cNvSpPr txBox="1"/>
          </xdr:nvSpPr>
          <xdr:spPr>
            <a:xfrm>
              <a:off x="114300" y="106135"/>
              <a:ext cx="1348318" cy="439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0,6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2,2</a:t>
              </a:r>
              <a:r>
                <a:rPr lang="ru-RU" sz="1100" b="0" i="0">
                  <a:latin typeface="Cambria Math" panose="02040503050406030204" pitchFamily="18" charset="0"/>
                </a:rPr>
                <a:t>▒(√(</a:t>
              </a:r>
              <a:r>
                <a:rPr lang="en-US" sz="1100" b="0" i="0">
                  <a:latin typeface="Cambria Math" panose="02040503050406030204" pitchFamily="18" charset="0"/>
                </a:rPr>
                <a:t>1,5𝑥+1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 𝑑𝑥</a:t>
              </a:r>
              <a:r>
                <a:rPr lang="ru-RU" sz="1100" b="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1,2𝑥+√(𝑥^2+1,8)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146956</xdr:colOff>
      <xdr:row>5</xdr:row>
      <xdr:rowOff>68035</xdr:rowOff>
    </xdr:from>
    <xdr:ext cx="647357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C76CE2-4F02-40B0-9E83-513BD8E1FA4A}"/>
                </a:ext>
              </a:extLst>
            </xdr:cNvPr>
            <xdr:cNvSpPr txBox="1"/>
          </xdr:nvSpPr>
          <xdr:spPr>
            <a:xfrm>
              <a:off x="1366156" y="1020535"/>
              <a:ext cx="647357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1,5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BC76CE2-4F02-40B0-9E83-513BD8E1FA4A}"/>
                </a:ext>
              </a:extLst>
            </xdr:cNvPr>
            <xdr:cNvSpPr txBox="1"/>
          </xdr:nvSpPr>
          <xdr:spPr>
            <a:xfrm>
              <a:off x="1366156" y="1020535"/>
              <a:ext cx="647357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1,5𝑥+1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97971</xdr:colOff>
      <xdr:row>5</xdr:row>
      <xdr:rowOff>40821</xdr:rowOff>
    </xdr:from>
    <xdr:ext cx="1068178" cy="21249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4988CC-A26E-4C9B-A50E-97EA6AB06829}"/>
                </a:ext>
              </a:extLst>
            </xdr:cNvPr>
            <xdr:cNvSpPr txBox="1"/>
          </xdr:nvSpPr>
          <xdr:spPr>
            <a:xfrm>
              <a:off x="2280557" y="993321"/>
              <a:ext cx="1068178" cy="2124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1,2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ad>
                      <m:radPr>
                        <m:degHide m:val="on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+1,8</m:t>
                        </m:r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4988CC-A26E-4C9B-A50E-97EA6AB06829}"/>
                </a:ext>
              </a:extLst>
            </xdr:cNvPr>
            <xdr:cNvSpPr txBox="1"/>
          </xdr:nvSpPr>
          <xdr:spPr>
            <a:xfrm>
              <a:off x="2280557" y="993321"/>
              <a:ext cx="1068178" cy="2124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1,2𝑥+√(𝑥^2+1,8)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217714</xdr:colOff>
      <xdr:row>0</xdr:row>
      <xdr:rowOff>108857</xdr:rowOff>
    </xdr:from>
    <xdr:ext cx="1348318" cy="4396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521363-E3BB-456F-9D32-F757876E57F5}"/>
                </a:ext>
              </a:extLst>
            </xdr:cNvPr>
            <xdr:cNvSpPr txBox="1"/>
          </xdr:nvSpPr>
          <xdr:spPr>
            <a:xfrm>
              <a:off x="217714" y="108857"/>
              <a:ext cx="1348318" cy="439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0,6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2,2</m:t>
                        </m:r>
                      </m:sup>
                      <m:e>
                        <m:f>
                          <m:f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ad>
                              <m:radPr>
                                <m:degHide m:val="on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1,5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+1</m:t>
                                </m:r>
                              </m:e>
                            </m:rad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𝑑𝑥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1,2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ad>
                              <m:radPr>
                                <m:degHide m:val="on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sSup>
                                  <m:sSup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+1,8</m:t>
                                </m:r>
                              </m:e>
                            </m:rad>
                          </m:den>
                        </m:f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521363-E3BB-456F-9D32-F757876E57F5}"/>
                </a:ext>
              </a:extLst>
            </xdr:cNvPr>
            <xdr:cNvSpPr txBox="1"/>
          </xdr:nvSpPr>
          <xdr:spPr>
            <a:xfrm>
              <a:off x="217714" y="108857"/>
              <a:ext cx="1348318" cy="439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0,6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2,2</a:t>
              </a:r>
              <a:r>
                <a:rPr lang="ru-RU" sz="1100" b="0" i="0">
                  <a:latin typeface="Cambria Math" panose="02040503050406030204" pitchFamily="18" charset="0"/>
                </a:rPr>
                <a:t>▒(√(</a:t>
              </a:r>
              <a:r>
                <a:rPr lang="en-US" sz="1100" b="0" i="0">
                  <a:latin typeface="Cambria Math" panose="02040503050406030204" pitchFamily="18" charset="0"/>
                </a:rPr>
                <a:t>1,5𝑥+1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 𝑑𝑥</a:t>
              </a:r>
              <a:r>
                <a:rPr lang="ru-RU" sz="1100" b="0" i="0">
                  <a:latin typeface="Cambria Math" panose="02040503050406030204" pitchFamily="18" charset="0"/>
                </a:rPr>
                <a:t>)/(</a:t>
              </a:r>
              <a:r>
                <a:rPr lang="en-US" sz="1100" b="0" i="0">
                  <a:latin typeface="Cambria Math" panose="02040503050406030204" pitchFamily="18" charset="0"/>
                </a:rPr>
                <a:t>1,2𝑥+√(𝑥^2+1,8)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125185</xdr:colOff>
      <xdr:row>5</xdr:row>
      <xdr:rowOff>48985</xdr:rowOff>
    </xdr:from>
    <xdr:ext cx="647357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6716B3F-06E8-4930-876B-57767734EAE7}"/>
                </a:ext>
              </a:extLst>
            </xdr:cNvPr>
            <xdr:cNvSpPr txBox="1"/>
          </xdr:nvSpPr>
          <xdr:spPr>
            <a:xfrm>
              <a:off x="1953985" y="1001485"/>
              <a:ext cx="647357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1,5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6716B3F-06E8-4930-876B-57767734EAE7}"/>
                </a:ext>
              </a:extLst>
            </xdr:cNvPr>
            <xdr:cNvSpPr txBox="1"/>
          </xdr:nvSpPr>
          <xdr:spPr>
            <a:xfrm>
              <a:off x="1953985" y="1001485"/>
              <a:ext cx="647357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√(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1,5𝑥+1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59872</xdr:colOff>
      <xdr:row>5</xdr:row>
      <xdr:rowOff>32657</xdr:rowOff>
    </xdr:from>
    <xdr:ext cx="1068178" cy="21249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0EDAACE-22D9-411B-988A-D72241085228}"/>
                </a:ext>
              </a:extLst>
            </xdr:cNvPr>
            <xdr:cNvSpPr txBox="1"/>
          </xdr:nvSpPr>
          <xdr:spPr>
            <a:xfrm>
              <a:off x="2830286" y="985157"/>
              <a:ext cx="1068178" cy="2124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1,2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ad>
                      <m:radPr>
                        <m:degHide m:val="on"/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+1,8</m:t>
                        </m:r>
                      </m:e>
                    </m:ra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0EDAACE-22D9-411B-988A-D72241085228}"/>
                </a:ext>
              </a:extLst>
            </xdr:cNvPr>
            <xdr:cNvSpPr txBox="1"/>
          </xdr:nvSpPr>
          <xdr:spPr>
            <a:xfrm>
              <a:off x="2830286" y="985157"/>
              <a:ext cx="1068178" cy="21249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1,2𝑥+√(𝑥^2+1,8)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244929</xdr:colOff>
      <xdr:row>0</xdr:row>
      <xdr:rowOff>100692</xdr:rowOff>
    </xdr:from>
    <xdr:ext cx="1478931" cy="3930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4CA24C-CAA9-4A5A-87A4-8CD6767AC13B}"/>
                </a:ext>
              </a:extLst>
            </xdr:cNvPr>
            <xdr:cNvSpPr txBox="1"/>
          </xdr:nvSpPr>
          <xdr:spPr>
            <a:xfrm>
              <a:off x="244929" y="100692"/>
              <a:ext cx="1478931" cy="3930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0,3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1,1</m:t>
                        </m:r>
                      </m:sup>
                      <m:e>
                        <m:f>
                          <m:f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func>
                              <m:func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0,8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+0,3</m:t>
                                    </m:r>
                                  </m:e>
                                </m:d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𝑑𝑥</m:t>
                                </m:r>
                              </m:e>
                            </m:func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1,2+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⁡(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+0,4)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4CA24C-CAA9-4A5A-87A4-8CD6767AC13B}"/>
                </a:ext>
              </a:extLst>
            </xdr:cNvPr>
            <xdr:cNvSpPr txBox="1"/>
          </xdr:nvSpPr>
          <xdr:spPr>
            <a:xfrm>
              <a:off x="244929" y="100692"/>
              <a:ext cx="1478931" cy="3930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0,3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1,1</a:t>
              </a:r>
              <a:r>
                <a:rPr lang="ru-RU" sz="1100" b="0" i="0">
                  <a:latin typeface="Cambria Math" panose="02040503050406030204" pitchFamily="18" charset="0"/>
                </a:rPr>
                <a:t>▒</a:t>
              </a:r>
              <a:r>
                <a:rPr lang="en-US" sz="1100" i="0">
                  <a:latin typeface="Cambria Math" panose="02040503050406030204" pitchFamily="18" charset="0"/>
                </a:rPr>
                <a:t>sin⁡</a:t>
              </a:r>
              <a:r>
                <a:rPr lang="en-US" sz="1100" b="0" i="0">
                  <a:latin typeface="Cambria Math" panose="02040503050406030204" pitchFamily="18" charset="0"/>
                </a:rPr>
                <a:t>(0,8𝑥+0,3)𝑑𝑥</a:t>
              </a:r>
              <a:r>
                <a:rPr lang="ru-RU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1,2+cos⁡(𝑥^2+0,4)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141514</xdr:colOff>
      <xdr:row>5</xdr:row>
      <xdr:rowOff>57150</xdr:rowOff>
    </xdr:from>
    <xdr:ext cx="94519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A597F78-2D33-44D5-9301-0973C2955614}"/>
                </a:ext>
              </a:extLst>
            </xdr:cNvPr>
            <xdr:cNvSpPr txBox="1"/>
          </xdr:nvSpPr>
          <xdr:spPr>
            <a:xfrm>
              <a:off x="1360714" y="1009650"/>
              <a:ext cx="9451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0,8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+0,3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A597F78-2D33-44D5-9301-0973C2955614}"/>
                </a:ext>
              </a:extLst>
            </xdr:cNvPr>
            <xdr:cNvSpPr txBox="1"/>
          </xdr:nvSpPr>
          <xdr:spPr>
            <a:xfrm>
              <a:off x="1360714" y="1009650"/>
              <a:ext cx="9451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sin⁡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(0,8𝑥+0,3)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54429</xdr:colOff>
      <xdr:row>5</xdr:row>
      <xdr:rowOff>40821</xdr:rowOff>
    </xdr:from>
    <xdr:ext cx="1201355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917B31A-05A4-4F8D-B9CD-6C9CAD9D28D8}"/>
                </a:ext>
              </a:extLst>
            </xdr:cNvPr>
            <xdr:cNvSpPr txBox="1"/>
          </xdr:nvSpPr>
          <xdr:spPr>
            <a:xfrm>
              <a:off x="2514600" y="993321"/>
              <a:ext cx="120135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1,2+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cos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+0,4)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917B31A-05A4-4F8D-B9CD-6C9CAD9D28D8}"/>
                </a:ext>
              </a:extLst>
            </xdr:cNvPr>
            <xdr:cNvSpPr txBox="1"/>
          </xdr:nvSpPr>
          <xdr:spPr>
            <a:xfrm>
              <a:off x="2514600" y="993321"/>
              <a:ext cx="120135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1,2+cos⁡(𝑥^2+0,4)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81643</xdr:colOff>
      <xdr:row>0</xdr:row>
      <xdr:rowOff>146957</xdr:rowOff>
    </xdr:from>
    <xdr:ext cx="1478931" cy="3930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209DCBE-2165-41BE-BDE9-21984D655343}"/>
                </a:ext>
              </a:extLst>
            </xdr:cNvPr>
            <xdr:cNvSpPr txBox="1"/>
          </xdr:nvSpPr>
          <xdr:spPr>
            <a:xfrm>
              <a:off x="81643" y="146957"/>
              <a:ext cx="1478931" cy="3930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100" b="0" i="1">
                            <a:latin typeface="Cambria Math" panose="02040503050406030204" pitchFamily="18" charset="0"/>
                          </a:rPr>
                          <m:t>0,3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1,1</m:t>
                        </m:r>
                      </m:sup>
                      <m:e>
                        <m:f>
                          <m:f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func>
                              <m:funcPr>
                                <m:ctrlPr>
                                  <a:rPr lang="en-US" sz="1100" i="1">
                                    <a:latin typeface="Cambria Math" panose="02040503050406030204" pitchFamily="18" charset="0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en-US" sz="1100" i="0">
                                    <a:latin typeface="Cambria Math" panose="02040503050406030204" pitchFamily="18" charset="0"/>
                                  </a:rPr>
                                  <m:t>sin</m:t>
                                </m:r>
                              </m:fName>
                              <m:e>
                                <m:d>
                                  <m:dPr>
                                    <m:ctrlP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0,8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  <m:r>
                                      <a:rPr lang="en-US" sz="1100" b="0" i="1">
                                        <a:latin typeface="Cambria Math" panose="02040503050406030204" pitchFamily="18" charset="0"/>
                                      </a:rPr>
                                      <m:t>+0,3</m:t>
                                    </m:r>
                                  </m:e>
                                </m:d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𝑑𝑥</m:t>
                                </m:r>
                              </m:e>
                            </m:func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1,2+</m:t>
                            </m:r>
                            <m:r>
                              <m:rPr>
                                <m:sty m:val="p"/>
                              </m:rPr>
                              <a:rPr lang="en-US" sz="11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⁡(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+0,4)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209DCBE-2165-41BE-BDE9-21984D655343}"/>
                </a:ext>
              </a:extLst>
            </xdr:cNvPr>
            <xdr:cNvSpPr txBox="1"/>
          </xdr:nvSpPr>
          <xdr:spPr>
            <a:xfrm>
              <a:off x="81643" y="146957"/>
              <a:ext cx="1478931" cy="3930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∫24_</a:t>
              </a:r>
              <a:r>
                <a:rPr lang="en-US" sz="1100" b="0" i="0">
                  <a:latin typeface="Cambria Math" panose="02040503050406030204" pitchFamily="18" charset="0"/>
                </a:rPr>
                <a:t>0,3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1,1</a:t>
              </a:r>
              <a:r>
                <a:rPr lang="ru-RU" sz="1100" b="0" i="0">
                  <a:latin typeface="Cambria Math" panose="02040503050406030204" pitchFamily="18" charset="0"/>
                </a:rPr>
                <a:t>▒</a:t>
              </a:r>
              <a:r>
                <a:rPr lang="en-US" sz="1100" i="0">
                  <a:latin typeface="Cambria Math" panose="02040503050406030204" pitchFamily="18" charset="0"/>
                </a:rPr>
                <a:t>sin⁡</a:t>
              </a:r>
              <a:r>
                <a:rPr lang="en-US" sz="1100" b="0" i="0">
                  <a:latin typeface="Cambria Math" panose="02040503050406030204" pitchFamily="18" charset="0"/>
                </a:rPr>
                <a:t>(0,8𝑥+0,3)𝑑𝑥</a:t>
              </a:r>
              <a:r>
                <a:rPr lang="ru-RU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1,2+cos⁡(𝑥^2+0,4)</a:t>
              </a:r>
              <a:r>
                <a:rPr lang="ru-RU" sz="1100" b="0" i="0">
                  <a:latin typeface="Cambria Math" panose="02040503050406030204" pitchFamily="18" charset="0"/>
                </a:rPr>
                <a:t>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92529</xdr:colOff>
      <xdr:row>5</xdr:row>
      <xdr:rowOff>70758</xdr:rowOff>
    </xdr:from>
    <xdr:ext cx="945194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6CE9E9-7EE9-499E-A604-595125405FD3}"/>
                </a:ext>
              </a:extLst>
            </xdr:cNvPr>
            <xdr:cNvSpPr txBox="1"/>
          </xdr:nvSpPr>
          <xdr:spPr>
            <a:xfrm>
              <a:off x="1921329" y="1023258"/>
              <a:ext cx="9451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sin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0,8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+0,3</m:t>
                            </m:r>
                          </m:e>
                        </m:d>
                      </m:e>
                    </m:func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6CE9E9-7EE9-499E-A604-595125405FD3}"/>
                </a:ext>
              </a:extLst>
            </xdr:cNvPr>
            <xdr:cNvSpPr txBox="1"/>
          </xdr:nvSpPr>
          <xdr:spPr>
            <a:xfrm>
              <a:off x="1921329" y="1023258"/>
              <a:ext cx="94519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sin⁡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(0,8𝑥+0,3)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43544</xdr:colOff>
      <xdr:row>5</xdr:row>
      <xdr:rowOff>70758</xdr:rowOff>
    </xdr:from>
    <xdr:ext cx="1201355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8D4F950-DFBF-41C5-ABFD-36F9A8948078}"/>
                </a:ext>
              </a:extLst>
            </xdr:cNvPr>
            <xdr:cNvSpPr txBox="1"/>
          </xdr:nvSpPr>
          <xdr:spPr>
            <a:xfrm>
              <a:off x="2977244" y="1023258"/>
              <a:ext cx="120135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1,2+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cos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⁡(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+0,4)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8D4F950-DFBF-41C5-ABFD-36F9A8948078}"/>
                </a:ext>
              </a:extLst>
            </xdr:cNvPr>
            <xdr:cNvSpPr txBox="1"/>
          </xdr:nvSpPr>
          <xdr:spPr>
            <a:xfrm>
              <a:off x="2977244" y="1023258"/>
              <a:ext cx="1201355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1,2+cos⁡(𝑥^2+0,4)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E21"/>
  <sheetViews>
    <sheetView zoomScale="175" zoomScaleNormal="175" workbookViewId="0">
      <selection activeCell="E21" sqref="E21"/>
    </sheetView>
  </sheetViews>
  <sheetFormatPr defaultRowHeight="15" x14ac:dyDescent="0.25"/>
  <cols>
    <col min="3" max="3" width="14.42578125" customWidth="1"/>
    <col min="4" max="4" width="18.85546875" customWidth="1"/>
    <col min="5" max="5" width="15.28515625" customWidth="1"/>
  </cols>
  <sheetData>
    <row r="5" spans="1:5" x14ac:dyDescent="0.25">
      <c r="A5" t="s">
        <v>0</v>
      </c>
      <c r="B5">
        <f>(2.2-0.6)/10</f>
        <v>0.16</v>
      </c>
    </row>
    <row r="6" spans="1:5" ht="24.75" customHeight="1" x14ac:dyDescent="0.25">
      <c r="A6" s="1" t="s">
        <v>1</v>
      </c>
      <c r="B6" s="1" t="s">
        <v>2</v>
      </c>
      <c r="C6" s="1"/>
      <c r="D6" s="2"/>
      <c r="E6" s="1" t="s">
        <v>3</v>
      </c>
    </row>
    <row r="7" spans="1:5" x14ac:dyDescent="0.25">
      <c r="A7" s="2">
        <v>0</v>
      </c>
      <c r="B7" s="2">
        <v>0.6</v>
      </c>
      <c r="C7" s="2">
        <f>SQRT(1.5 * B7 + 1)</f>
        <v>1.3784048752090221</v>
      </c>
      <c r="D7" s="2">
        <f>1.2*B7 + SQRT(B7*B7 + 1.8)</f>
        <v>2.1896938456699067</v>
      </c>
      <c r="E7" s="2">
        <f>C7/D7</f>
        <v>0.62949662023976605</v>
      </c>
    </row>
    <row r="8" spans="1:5" x14ac:dyDescent="0.25">
      <c r="A8" s="2">
        <v>1</v>
      </c>
      <c r="B8" s="2">
        <f>B7+$B$5</f>
        <v>0.76</v>
      </c>
      <c r="C8" s="2">
        <f t="shared" ref="C8:C17" si="0">SQRT(1.5 * B8 + 1)</f>
        <v>1.4628738838327795</v>
      </c>
      <c r="D8" s="2">
        <f t="shared" ref="D8:D17" si="1">1.2*B8 + SQRT(B8*B8 + 1.8)</f>
        <v>2.4539468213917104</v>
      </c>
      <c r="E8" s="2">
        <f t="shared" ref="E8:E16" si="2">C8/D8</f>
        <v>0.59613104533501571</v>
      </c>
    </row>
    <row r="9" spans="1:5" x14ac:dyDescent="0.25">
      <c r="A9" s="2">
        <v>2</v>
      </c>
      <c r="B9" s="2">
        <f t="shared" ref="B9:B17" si="3">B8+$B$5</f>
        <v>0.92</v>
      </c>
      <c r="C9" s="2">
        <f t="shared" si="0"/>
        <v>1.5427248620541512</v>
      </c>
      <c r="D9" s="2">
        <f t="shared" si="1"/>
        <v>2.7307759526130204</v>
      </c>
      <c r="E9" s="2">
        <f t="shared" si="2"/>
        <v>0.56494010816887086</v>
      </c>
    </row>
    <row r="10" spans="1:5" x14ac:dyDescent="0.25">
      <c r="A10" s="2">
        <v>3</v>
      </c>
      <c r="B10" s="2">
        <f t="shared" si="3"/>
        <v>1.08</v>
      </c>
      <c r="C10" s="2">
        <f t="shared" si="0"/>
        <v>1.6186414056238645</v>
      </c>
      <c r="D10" s="2">
        <f t="shared" si="1"/>
        <v>3.018324011328879</v>
      </c>
      <c r="E10" s="2">
        <f t="shared" si="2"/>
        <v>0.53627158633351113</v>
      </c>
    </row>
    <row r="11" spans="1:5" x14ac:dyDescent="0.25">
      <c r="A11" s="2">
        <v>4</v>
      </c>
      <c r="B11" s="2">
        <f t="shared" si="3"/>
        <v>1.24</v>
      </c>
      <c r="C11" s="2">
        <f t="shared" si="0"/>
        <v>1.6911534525287764</v>
      </c>
      <c r="D11" s="2">
        <f t="shared" si="1"/>
        <v>3.3149099594670779</v>
      </c>
      <c r="E11" s="2">
        <f t="shared" si="2"/>
        <v>0.5101657279405124</v>
      </c>
    </row>
    <row r="12" spans="1:5" x14ac:dyDescent="0.25">
      <c r="A12" s="2">
        <v>5</v>
      </c>
      <c r="B12" s="2">
        <f t="shared" si="3"/>
        <v>1.4</v>
      </c>
      <c r="C12" s="2">
        <f t="shared" si="0"/>
        <v>1.7606816861659007</v>
      </c>
      <c r="D12" s="2">
        <f t="shared" si="1"/>
        <v>3.6190719429665315</v>
      </c>
      <c r="E12" s="2">
        <f t="shared" si="2"/>
        <v>0.48650088031206157</v>
      </c>
    </row>
    <row r="13" spans="1:5" x14ac:dyDescent="0.25">
      <c r="A13" s="2">
        <v>6</v>
      </c>
      <c r="B13" s="2">
        <f t="shared" si="3"/>
        <v>1.5599999999999998</v>
      </c>
      <c r="C13" s="2">
        <f t="shared" si="0"/>
        <v>1.8275666882497066</v>
      </c>
      <c r="D13" s="2">
        <f t="shared" si="1"/>
        <v>3.9295713839378692</v>
      </c>
      <c r="E13" s="2">
        <f t="shared" si="2"/>
        <v>0.46508041455103449</v>
      </c>
    </row>
    <row r="14" spans="1:5" x14ac:dyDescent="0.25">
      <c r="A14" s="2">
        <v>7</v>
      </c>
      <c r="B14" s="2">
        <f t="shared" si="3"/>
        <v>1.7199999999999998</v>
      </c>
      <c r="C14" s="2">
        <f t="shared" si="0"/>
        <v>1.8920887928424499</v>
      </c>
      <c r="D14" s="2">
        <f>1.2*B14 + SQRT(B14*B14 + 1.8)</f>
        <v>4.2453757127097562</v>
      </c>
      <c r="E14" s="2">
        <f t="shared" si="2"/>
        <v>0.44568229548634214</v>
      </c>
    </row>
    <row r="15" spans="1:5" x14ac:dyDescent="0.25">
      <c r="A15" s="2">
        <v>8</v>
      </c>
      <c r="B15" s="2">
        <f t="shared" si="3"/>
        <v>1.8799999999999997</v>
      </c>
      <c r="C15" s="2">
        <f t="shared" si="0"/>
        <v>1.9544820285692062</v>
      </c>
      <c r="D15" s="2">
        <f t="shared" si="1"/>
        <v>4.5656320053203272</v>
      </c>
      <c r="E15" s="2">
        <f t="shared" si="2"/>
        <v>0.42808575598989357</v>
      </c>
    </row>
    <row r="16" spans="1:5" x14ac:dyDescent="0.25">
      <c r="A16" s="2">
        <v>9</v>
      </c>
      <c r="B16" s="2">
        <f t="shared" si="3"/>
        <v>2.0399999999999996</v>
      </c>
      <c r="C16" s="2">
        <f t="shared" si="0"/>
        <v>2.0149441679609885</v>
      </c>
      <c r="D16" s="2">
        <f t="shared" si="1"/>
        <v>4.889638793925096</v>
      </c>
      <c r="E16" s="2">
        <f t="shared" si="2"/>
        <v>0.41208446122121783</v>
      </c>
    </row>
    <row r="17" spans="1:5" x14ac:dyDescent="0.25">
      <c r="A17" s="2">
        <v>10</v>
      </c>
      <c r="B17" s="2">
        <f t="shared" si="3"/>
        <v>2.1999999999999997</v>
      </c>
      <c r="C17" s="2">
        <f>SQRT(1.5 * B17 + 1)</f>
        <v>2.0736441353327719</v>
      </c>
      <c r="D17" s="2">
        <f t="shared" si="1"/>
        <v>5.216819745345024</v>
      </c>
      <c r="E17" s="2">
        <f>C17/D17</f>
        <v>0.39749200404769353</v>
      </c>
    </row>
    <row r="19" spans="1:5" x14ac:dyDescent="0.25">
      <c r="C19" t="s">
        <v>4</v>
      </c>
      <c r="E19">
        <f>B5*SUM(E7:E16)</f>
        <v>0.81191022329251594</v>
      </c>
    </row>
    <row r="20" spans="1:5" x14ac:dyDescent="0.25">
      <c r="C20" t="s">
        <v>5</v>
      </c>
      <c r="E20">
        <f>B5*SUM(E8:E17)</f>
        <v>0.77478948470178455</v>
      </c>
    </row>
    <row r="21" spans="1:5" x14ac:dyDescent="0.25">
      <c r="C21" t="s">
        <v>6</v>
      </c>
      <c r="E21" s="3">
        <f>(E19+E20)/2</f>
        <v>0.79334985399715019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A8FA-3364-4169-8B8B-62C905ACD41D}">
  <dimension ref="A5:F20"/>
  <sheetViews>
    <sheetView zoomScale="175" zoomScaleNormal="175" workbookViewId="0">
      <selection activeCell="F20" sqref="F20"/>
    </sheetView>
  </sheetViews>
  <sheetFormatPr defaultRowHeight="15" x14ac:dyDescent="0.25"/>
  <cols>
    <col min="4" max="4" width="14.140625" customWidth="1"/>
    <col min="5" max="5" width="17.85546875" customWidth="1"/>
    <col min="6" max="6" width="15.5703125" customWidth="1"/>
  </cols>
  <sheetData>
    <row r="5" spans="1:6" x14ac:dyDescent="0.25">
      <c r="A5" t="s">
        <v>0</v>
      </c>
      <c r="B5">
        <f>(2.2-0.6)/10</f>
        <v>0.16</v>
      </c>
    </row>
    <row r="6" spans="1:6" ht="24.75" customHeight="1" x14ac:dyDescent="0.25">
      <c r="A6" s="1" t="s">
        <v>1</v>
      </c>
      <c r="B6" s="1" t="s">
        <v>2</v>
      </c>
      <c r="C6" s="1" t="s">
        <v>7</v>
      </c>
      <c r="D6" s="1"/>
      <c r="E6" s="1"/>
      <c r="F6" s="1" t="s">
        <v>3</v>
      </c>
    </row>
    <row r="7" spans="1:6" x14ac:dyDescent="0.25">
      <c r="A7" s="2">
        <v>0</v>
      </c>
      <c r="B7" s="2">
        <v>0.6</v>
      </c>
      <c r="C7" s="2">
        <f>B7+$B$5/2</f>
        <v>0.67999999999999994</v>
      </c>
      <c r="D7" s="2">
        <f>SQRT(1.5 * C7 + 1)</f>
        <v>1.4212670403551895</v>
      </c>
      <c r="E7" s="2">
        <f>1.2*C7 + SQRT(C7*C7 + 1.8)</f>
        <v>2.3201276541570532</v>
      </c>
      <c r="F7" s="2">
        <f>D7/E7</f>
        <v>0.61258139732469286</v>
      </c>
    </row>
    <row r="8" spans="1:6" x14ac:dyDescent="0.25">
      <c r="A8" s="2">
        <v>1</v>
      </c>
      <c r="B8" s="2">
        <f>B7+$B$5</f>
        <v>0.76</v>
      </c>
      <c r="C8" s="2">
        <f t="shared" ref="C8:C17" si="0">B8+$B$5/2</f>
        <v>0.84</v>
      </c>
      <c r="D8" s="2">
        <f t="shared" ref="D8:D17" si="1">SQRT(1.5 * C8 + 1)</f>
        <v>1.5033296378372907</v>
      </c>
      <c r="E8" s="2">
        <f t="shared" ref="E8:E17" si="2">1.2*C8 + SQRT(C8*C8 + 1.8)</f>
        <v>2.5909087149927501</v>
      </c>
      <c r="F8" s="2">
        <f t="shared" ref="F8:F17" si="3">D8/E8</f>
        <v>0.58023257598309375</v>
      </c>
    </row>
    <row r="9" spans="1:6" x14ac:dyDescent="0.25">
      <c r="A9" s="2">
        <v>2</v>
      </c>
      <c r="B9" s="2">
        <f t="shared" ref="B9:B17" si="4">B8+$B$5</f>
        <v>0.92</v>
      </c>
      <c r="C9" s="2">
        <f>B9+$B$5/2</f>
        <v>1</v>
      </c>
      <c r="D9" s="2">
        <f t="shared" si="1"/>
        <v>1.5811388300841898</v>
      </c>
      <c r="E9" s="2">
        <f t="shared" si="2"/>
        <v>2.8733200530681513</v>
      </c>
      <c r="F9" s="2">
        <f t="shared" si="3"/>
        <v>0.55028287864967862</v>
      </c>
    </row>
    <row r="10" spans="1:6" x14ac:dyDescent="0.25">
      <c r="A10" s="2">
        <v>3</v>
      </c>
      <c r="B10" s="2">
        <f t="shared" si="4"/>
        <v>1.08</v>
      </c>
      <c r="C10" s="2">
        <f t="shared" si="0"/>
        <v>1.1600000000000001</v>
      </c>
      <c r="D10" s="2">
        <f t="shared" si="1"/>
        <v>1.6552945357246849</v>
      </c>
      <c r="E10" s="2">
        <f t="shared" si="2"/>
        <v>3.1655839421916294</v>
      </c>
      <c r="F10" s="2">
        <f t="shared" si="3"/>
        <v>0.522903377687301</v>
      </c>
    </row>
    <row r="11" spans="1:6" x14ac:dyDescent="0.25">
      <c r="A11" s="2">
        <v>4</v>
      </c>
      <c r="B11" s="2">
        <f t="shared" si="4"/>
        <v>1.24</v>
      </c>
      <c r="C11" s="2">
        <f t="shared" si="0"/>
        <v>1.32</v>
      </c>
      <c r="D11" s="2">
        <f t="shared" si="1"/>
        <v>1.7262676501632068</v>
      </c>
      <c r="E11" s="2">
        <f t="shared" si="2"/>
        <v>3.4661264569629751</v>
      </c>
      <c r="F11" s="2">
        <f t="shared" si="3"/>
        <v>0.49803943150872948</v>
      </c>
    </row>
    <row r="12" spans="1:6" x14ac:dyDescent="0.25">
      <c r="A12" s="2">
        <v>5</v>
      </c>
      <c r="B12" s="2">
        <f t="shared" si="4"/>
        <v>1.4</v>
      </c>
      <c r="C12" s="2">
        <f t="shared" si="0"/>
        <v>1.48</v>
      </c>
      <c r="D12" s="2">
        <f t="shared" si="1"/>
        <v>1.794435844492636</v>
      </c>
      <c r="E12" s="2">
        <f>1.2*C12 + SQRT(C12*C12 + 1.8)</f>
        <v>3.7735985582694038</v>
      </c>
      <c r="F12" s="2">
        <f t="shared" si="3"/>
        <v>0.47552377837338788</v>
      </c>
    </row>
    <row r="13" spans="1:6" x14ac:dyDescent="0.25">
      <c r="A13" s="2">
        <v>6</v>
      </c>
      <c r="B13" s="2">
        <f t="shared" si="4"/>
        <v>1.5599999999999998</v>
      </c>
      <c r="C13" s="2">
        <f t="shared" si="0"/>
        <v>1.64</v>
      </c>
      <c r="D13" s="2">
        <f t="shared" si="1"/>
        <v>1.8601075237738274</v>
      </c>
      <c r="E13" s="2">
        <f t="shared" si="2"/>
        <v>4.0868676221038438</v>
      </c>
      <c r="F13" s="2">
        <f t="shared" si="3"/>
        <v>0.45514259226636716</v>
      </c>
    </row>
    <row r="14" spans="1:6" x14ac:dyDescent="0.25">
      <c r="A14" s="2">
        <v>7</v>
      </c>
      <c r="B14" s="2">
        <f t="shared" si="4"/>
        <v>1.7199999999999998</v>
      </c>
      <c r="C14" s="2">
        <f t="shared" si="0"/>
        <v>1.7999999999999998</v>
      </c>
      <c r="D14" s="2">
        <f t="shared" si="1"/>
        <v>1.9235384061671343</v>
      </c>
      <c r="E14" s="2">
        <f t="shared" si="2"/>
        <v>4.4049944320643641</v>
      </c>
      <c r="F14" s="2">
        <f t="shared" si="3"/>
        <v>0.43667215380921243</v>
      </c>
    </row>
    <row r="15" spans="1:6" x14ac:dyDescent="0.25">
      <c r="A15" s="2">
        <v>8</v>
      </c>
      <c r="B15" s="2">
        <f t="shared" si="4"/>
        <v>1.8799999999999997</v>
      </c>
      <c r="C15" s="2">
        <f t="shared" si="0"/>
        <v>1.9599999999999997</v>
      </c>
      <c r="D15" s="2">
        <f t="shared" si="1"/>
        <v>1.9849433241279206</v>
      </c>
      <c r="E15" s="2">
        <f t="shared" si="2"/>
        <v>4.7272052542885632</v>
      </c>
      <c r="F15" s="2">
        <f t="shared" si="3"/>
        <v>0.41989785028419535</v>
      </c>
    </row>
    <row r="16" spans="1:6" x14ac:dyDescent="0.25">
      <c r="A16" s="2">
        <v>9</v>
      </c>
      <c r="B16" s="2">
        <f t="shared" si="4"/>
        <v>2.0399999999999996</v>
      </c>
      <c r="C16" s="2">
        <f t="shared" si="0"/>
        <v>2.1199999999999997</v>
      </c>
      <c r="D16" s="2">
        <f t="shared" si="1"/>
        <v>2.0445048300260873</v>
      </c>
      <c r="E16" s="2">
        <f t="shared" si="2"/>
        <v>5.0528642848906742</v>
      </c>
      <c r="F16" s="2">
        <f t="shared" si="3"/>
        <v>0.40462294547266336</v>
      </c>
    </row>
    <row r="17" spans="1:6" x14ac:dyDescent="0.25">
      <c r="A17" s="2">
        <v>10</v>
      </c>
      <c r="B17" s="2">
        <f t="shared" si="4"/>
        <v>2.1999999999999997</v>
      </c>
      <c r="C17" s="2">
        <f t="shared" si="0"/>
        <v>2.2799999999999998</v>
      </c>
      <c r="D17" s="2">
        <f t="shared" si="1"/>
        <v>2.1023796041628637</v>
      </c>
      <c r="E17" s="2">
        <f>1.2*C17 + SQRT(C17*C17 + 1.8)</f>
        <v>5.3814489222058324</v>
      </c>
      <c r="F17" s="2">
        <f t="shared" si="3"/>
        <v>0.39067166381300661</v>
      </c>
    </row>
    <row r="20" spans="1:6" x14ac:dyDescent="0.25">
      <c r="D20" t="s">
        <v>8</v>
      </c>
      <c r="F20" s="3">
        <f>B5*SUM(F7:F16)</f>
        <v>0.7929438370174916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1F8A-5F13-42FD-8812-5D3F0D63618D}">
  <dimension ref="A5:E21"/>
  <sheetViews>
    <sheetView tabSelected="1" zoomScale="175" zoomScaleNormal="175" workbookViewId="0">
      <selection activeCell="C1" sqref="C1"/>
    </sheetView>
  </sheetViews>
  <sheetFormatPr defaultRowHeight="15" x14ac:dyDescent="0.25"/>
  <cols>
    <col min="3" max="3" width="18.5703125" customWidth="1"/>
    <col min="4" max="4" width="19.28515625" customWidth="1"/>
    <col min="5" max="5" width="15.85546875" customWidth="1"/>
  </cols>
  <sheetData>
    <row r="5" spans="1:5" x14ac:dyDescent="0.25">
      <c r="A5" t="s">
        <v>0</v>
      </c>
      <c r="B5">
        <f>(1.1-0.3)/10</f>
        <v>0.08</v>
      </c>
    </row>
    <row r="6" spans="1:5" ht="21" customHeight="1" x14ac:dyDescent="0.25">
      <c r="A6" s="1" t="s">
        <v>1</v>
      </c>
      <c r="B6" s="1" t="s">
        <v>2</v>
      </c>
      <c r="C6" s="1"/>
      <c r="D6" s="2"/>
      <c r="E6" s="1" t="s">
        <v>3</v>
      </c>
    </row>
    <row r="7" spans="1:5" x14ac:dyDescent="0.25">
      <c r="A7" s="2">
        <v>0</v>
      </c>
      <c r="B7" s="2">
        <v>0.3</v>
      </c>
      <c r="C7" s="2">
        <f>SIN(0.8 * B7 + 0.3)</f>
        <v>0.51413599165311319</v>
      </c>
      <c r="D7" s="2">
        <f>1.2 + COS(B7*B7+0.4)</f>
        <v>2.0823328586101213</v>
      </c>
      <c r="E7" s="2">
        <f>C7/D7</f>
        <v>0.24690384610089647</v>
      </c>
    </row>
    <row r="8" spans="1:5" x14ac:dyDescent="0.25">
      <c r="A8" s="2">
        <v>1</v>
      </c>
      <c r="B8" s="2">
        <f>B7+$B$5</f>
        <v>0.38</v>
      </c>
      <c r="C8" s="2">
        <f t="shared" ref="C8:C17" si="0">SIN(0.8 * B8 + 0.3)</f>
        <v>0.567939289917337</v>
      </c>
      <c r="D8" s="2">
        <f t="shared" ref="D8:D17" si="1">1.2 + COS(B8*B8+0.4)</f>
        <v>2.0554381876932628</v>
      </c>
      <c r="E8" s="2">
        <f t="shared" ref="E8:E17" si="2">C8/D8</f>
        <v>0.27631056643679119</v>
      </c>
    </row>
    <row r="9" spans="1:5" x14ac:dyDescent="0.25">
      <c r="A9" s="2">
        <v>2</v>
      </c>
      <c r="B9" s="2">
        <f t="shared" ref="B9:B17" si="3">B8+$B$5</f>
        <v>0.46</v>
      </c>
      <c r="C9" s="2">
        <f t="shared" si="0"/>
        <v>0.61941710277833328</v>
      </c>
      <c r="D9" s="2">
        <f t="shared" si="1"/>
        <v>2.018730381151157</v>
      </c>
      <c r="E9" s="2">
        <f t="shared" si="2"/>
        <v>0.30683498329535125</v>
      </c>
    </row>
    <row r="10" spans="1:5" x14ac:dyDescent="0.25">
      <c r="A10" s="2">
        <v>3</v>
      </c>
      <c r="B10" s="2">
        <f t="shared" si="3"/>
        <v>0.54</v>
      </c>
      <c r="C10" s="2">
        <f t="shared" si="0"/>
        <v>0.66835864907599651</v>
      </c>
      <c r="D10" s="2">
        <f t="shared" si="1"/>
        <v>1.9702265687454055</v>
      </c>
      <c r="E10" s="2">
        <f t="shared" si="2"/>
        <v>0.33922933518330928</v>
      </c>
    </row>
    <row r="11" spans="1:5" x14ac:dyDescent="0.25">
      <c r="A11" s="2">
        <v>4</v>
      </c>
      <c r="B11" s="2">
        <f t="shared" si="3"/>
        <v>0.62</v>
      </c>
      <c r="C11" s="2">
        <f t="shared" si="0"/>
        <v>0.71456353265259098</v>
      </c>
      <c r="D11" s="2">
        <f t="shared" si="1"/>
        <v>1.9078122369205326</v>
      </c>
      <c r="E11" s="2">
        <f t="shared" si="2"/>
        <v>0.37454604746953157</v>
      </c>
    </row>
    <row r="12" spans="1:5" x14ac:dyDescent="0.25">
      <c r="A12" s="2">
        <v>5</v>
      </c>
      <c r="B12" s="2">
        <f t="shared" si="3"/>
        <v>0.7</v>
      </c>
      <c r="C12" s="2">
        <f t="shared" si="0"/>
        <v>0.75784256289527685</v>
      </c>
      <c r="D12" s="2">
        <f t="shared" si="1"/>
        <v>1.8294120265736971</v>
      </c>
      <c r="E12" s="2">
        <f t="shared" si="2"/>
        <v>0.41425471784759116</v>
      </c>
    </row>
    <row r="13" spans="1:5" x14ac:dyDescent="0.25">
      <c r="A13" s="2">
        <v>6</v>
      </c>
      <c r="B13" s="2">
        <f t="shared" si="3"/>
        <v>0.77999999999999992</v>
      </c>
      <c r="C13" s="2">
        <f t="shared" si="0"/>
        <v>0.79801852939638951</v>
      </c>
      <c r="D13" s="2">
        <f t="shared" si="1"/>
        <v>1.7332149709660625</v>
      </c>
      <c r="E13" s="2">
        <f t="shared" si="2"/>
        <v>0.46042674611308515</v>
      </c>
    </row>
    <row r="14" spans="1:5" x14ac:dyDescent="0.25">
      <c r="A14" s="2">
        <v>7</v>
      </c>
      <c r="B14" s="2">
        <f t="shared" si="3"/>
        <v>0.85999999999999988</v>
      </c>
      <c r="C14" s="2">
        <f>SIN(0.8 * B14 + 0.3)</f>
        <v>0.83492692755954379</v>
      </c>
      <c r="D14" s="2">
        <f t="shared" si="1"/>
        <v>1.6179579239395527</v>
      </c>
      <c r="E14" s="2">
        <f t="shared" si="2"/>
        <v>0.51603747860549232</v>
      </c>
    </row>
    <row r="15" spans="1:5" x14ac:dyDescent="0.25">
      <c r="A15" s="2">
        <v>8</v>
      </c>
      <c r="B15" s="2">
        <f t="shared" si="3"/>
        <v>0.93999999999999984</v>
      </c>
      <c r="C15" s="2">
        <f t="shared" si="0"/>
        <v>0.86841663218049947</v>
      </c>
      <c r="D15" s="2">
        <f t="shared" si="1"/>
        <v>1.4832645020718891</v>
      </c>
      <c r="E15" s="2">
        <f t="shared" si="2"/>
        <v>0.58547658288016524</v>
      </c>
    </row>
    <row r="16" spans="1:5" x14ac:dyDescent="0.25">
      <c r="A16" s="2">
        <v>9</v>
      </c>
      <c r="B16" s="2">
        <f t="shared" si="3"/>
        <v>1.0199999999999998</v>
      </c>
      <c r="C16" s="2">
        <f t="shared" si="0"/>
        <v>0.8983505162447375</v>
      </c>
      <c r="D16" s="2">
        <f t="shared" si="1"/>
        <v>1.3300271149755483</v>
      </c>
      <c r="E16" s="2">
        <f t="shared" si="2"/>
        <v>0.67543774568930737</v>
      </c>
    </row>
    <row r="17" spans="1:5" x14ac:dyDescent="0.25">
      <c r="A17" s="2">
        <v>10</v>
      </c>
      <c r="B17" s="2">
        <f t="shared" si="3"/>
        <v>1.0999999999999999</v>
      </c>
      <c r="C17" s="2">
        <f t="shared" si="0"/>
        <v>0.92460601240802032</v>
      </c>
      <c r="D17" s="2">
        <f t="shared" si="1"/>
        <v>1.1608063682270124</v>
      </c>
      <c r="E17" s="2">
        <f t="shared" si="2"/>
        <v>0.79652045139986716</v>
      </c>
    </row>
    <row r="19" spans="1:5" x14ac:dyDescent="0.25">
      <c r="C19" t="s">
        <v>4</v>
      </c>
      <c r="E19">
        <f>B5*SUM(E7:E16)</f>
        <v>0.3356366439697217</v>
      </c>
    </row>
    <row r="20" spans="1:5" x14ac:dyDescent="0.25">
      <c r="C20" t="s">
        <v>5</v>
      </c>
      <c r="E20">
        <f>B5*SUM(E8:E17)</f>
        <v>0.37960597239363936</v>
      </c>
    </row>
    <row r="21" spans="1:5" x14ac:dyDescent="0.25">
      <c r="C21" t="s">
        <v>6</v>
      </c>
      <c r="E21" s="3">
        <f>(E19+E20)/2</f>
        <v>0.35762130818168053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8CEA-EDF4-4C6D-AE0A-8234DFF5E19C}">
  <dimension ref="A5:F20"/>
  <sheetViews>
    <sheetView zoomScale="175" zoomScaleNormal="175" workbookViewId="0">
      <selection activeCell="F21" sqref="F21"/>
    </sheetView>
  </sheetViews>
  <sheetFormatPr defaultRowHeight="15" x14ac:dyDescent="0.25"/>
  <cols>
    <col min="4" max="4" width="16.5703125" customWidth="1"/>
    <col min="5" max="5" width="20" customWidth="1"/>
    <col min="6" max="6" width="15.7109375" customWidth="1"/>
  </cols>
  <sheetData>
    <row r="5" spans="1:6" x14ac:dyDescent="0.25">
      <c r="A5" t="s">
        <v>0</v>
      </c>
      <c r="B5">
        <f>(1.1-0.3)/10</f>
        <v>0.08</v>
      </c>
    </row>
    <row r="6" spans="1:6" ht="24.75" customHeight="1" x14ac:dyDescent="0.25">
      <c r="A6" s="1" t="s">
        <v>1</v>
      </c>
      <c r="B6" s="1" t="s">
        <v>2</v>
      </c>
      <c r="C6" s="1" t="s">
        <v>7</v>
      </c>
      <c r="D6" s="2"/>
      <c r="E6" s="2"/>
      <c r="F6" s="1" t="s">
        <v>3</v>
      </c>
    </row>
    <row r="7" spans="1:6" x14ac:dyDescent="0.25">
      <c r="A7" s="2">
        <v>0</v>
      </c>
      <c r="B7" s="2">
        <v>0.3</v>
      </c>
      <c r="C7" s="2">
        <f>B7+$B$5/2</f>
        <v>0.33999999999999997</v>
      </c>
      <c r="D7" s="2">
        <f>SIN(0.8 * C7 + 0.3)</f>
        <v>0.54131477029802166</v>
      </c>
      <c r="E7" s="2">
        <f>1.2 + COS(C7*C7+0.4)</f>
        <v>2.0699970447536895</v>
      </c>
      <c r="F7" s="2">
        <f>D7/E7</f>
        <v>0.26150509328984722</v>
      </c>
    </row>
    <row r="8" spans="1:6" x14ac:dyDescent="0.25">
      <c r="A8" s="2">
        <v>1</v>
      </c>
      <c r="B8" s="2">
        <f>B7+$B$5</f>
        <v>0.38</v>
      </c>
      <c r="C8" s="2">
        <f t="shared" ref="C8:C17" si="0">B8+$B$5/2</f>
        <v>0.42</v>
      </c>
      <c r="D8" s="2">
        <f t="shared" ref="D8:D17" si="1">SIN(0.8 * C8 + 0.3)</f>
        <v>0.59398228932937536</v>
      </c>
      <c r="E8" s="2">
        <f t="shared" ref="E8:E17" si="2">1.2 + COS(C8*C8+0.4)</f>
        <v>2.0384301115540886</v>
      </c>
      <c r="F8" s="2">
        <f t="shared" ref="F8:F17" si="3">D8/E8</f>
        <v>0.29139203054478346</v>
      </c>
    </row>
    <row r="9" spans="1:6" x14ac:dyDescent="0.25">
      <c r="A9" s="2">
        <v>2</v>
      </c>
      <c r="B9" s="2">
        <f t="shared" ref="B9:B17" si="4">B8+$B$5</f>
        <v>0.46</v>
      </c>
      <c r="C9" s="2">
        <f t="shared" si="0"/>
        <v>0.5</v>
      </c>
      <c r="D9" s="2">
        <f t="shared" si="1"/>
        <v>0.64421768723769102</v>
      </c>
      <c r="E9" s="2">
        <f t="shared" si="2"/>
        <v>1.9960837985490558</v>
      </c>
      <c r="F9" s="2">
        <f t="shared" si="3"/>
        <v>0.32274080261859239</v>
      </c>
    </row>
    <row r="10" spans="1:6" x14ac:dyDescent="0.25">
      <c r="A10" s="2">
        <v>3</v>
      </c>
      <c r="B10" s="2">
        <f t="shared" si="4"/>
        <v>0.54</v>
      </c>
      <c r="C10" s="2">
        <f t="shared" si="0"/>
        <v>0.58000000000000007</v>
      </c>
      <c r="D10" s="2">
        <f t="shared" si="1"/>
        <v>0.6918152700577247</v>
      </c>
      <c r="E10" s="2">
        <f t="shared" si="2"/>
        <v>1.9408912046970972</v>
      </c>
      <c r="F10" s="2">
        <f t="shared" si="3"/>
        <v>0.35644206557455754</v>
      </c>
    </row>
    <row r="11" spans="1:6" x14ac:dyDescent="0.25">
      <c r="A11" s="2">
        <v>4</v>
      </c>
      <c r="B11" s="2">
        <f t="shared" si="4"/>
        <v>0.62</v>
      </c>
      <c r="C11" s="2">
        <f t="shared" si="0"/>
        <v>0.66</v>
      </c>
      <c r="D11" s="2">
        <f t="shared" si="1"/>
        <v>0.73658014462740418</v>
      </c>
      <c r="E11" s="2">
        <f t="shared" si="2"/>
        <v>1.870732783967513</v>
      </c>
      <c r="F11" s="2">
        <f t="shared" si="3"/>
        <v>0.39373883375542296</v>
      </c>
    </row>
    <row r="12" spans="1:6" x14ac:dyDescent="0.25">
      <c r="A12" s="2">
        <v>5</v>
      </c>
      <c r="B12" s="2">
        <f t="shared" si="4"/>
        <v>0.7</v>
      </c>
      <c r="C12" s="2">
        <f t="shared" si="0"/>
        <v>0.74</v>
      </c>
      <c r="D12" s="2">
        <f>SIN(0.8 * C12 + 0.3)</f>
        <v>0.77832901659777831</v>
      </c>
      <c r="E12" s="2">
        <f t="shared" si="2"/>
        <v>1.7836336095547756</v>
      </c>
      <c r="F12" s="2">
        <f t="shared" si="3"/>
        <v>0.43637270144963353</v>
      </c>
    </row>
    <row r="13" spans="1:6" x14ac:dyDescent="0.25">
      <c r="A13" s="2">
        <v>6</v>
      </c>
      <c r="B13" s="2">
        <f t="shared" si="4"/>
        <v>0.77999999999999992</v>
      </c>
      <c r="C13" s="2">
        <f t="shared" si="0"/>
        <v>0.82</v>
      </c>
      <c r="D13" s="2">
        <f>SIN(0.8 * C13 + 0.3)</f>
        <v>0.81689094095044168</v>
      </c>
      <c r="E13" s="2">
        <f t="shared" si="2"/>
        <v>1.6780175670822284</v>
      </c>
      <c r="F13" s="2">
        <f t="shared" si="3"/>
        <v>0.48681906374250211</v>
      </c>
    </row>
    <row r="14" spans="1:6" x14ac:dyDescent="0.25">
      <c r="A14" s="2">
        <v>7</v>
      </c>
      <c r="B14" s="2">
        <f t="shared" si="4"/>
        <v>0.85999999999999988</v>
      </c>
      <c r="C14" s="2">
        <f t="shared" si="0"/>
        <v>0.89999999999999991</v>
      </c>
      <c r="D14" s="2">
        <f>SIN(0.8 * C14 + 0.3)</f>
        <v>0.85210802194936297</v>
      </c>
      <c r="E14" s="2">
        <f t="shared" si="2"/>
        <v>1.5530194012193304</v>
      </c>
      <c r="F14" s="2">
        <f>D14/E14</f>
        <v>0.54867828520386985</v>
      </c>
    </row>
    <row r="15" spans="1:6" x14ac:dyDescent="0.25">
      <c r="A15" s="2">
        <v>8</v>
      </c>
      <c r="B15" s="2">
        <f t="shared" si="4"/>
        <v>0.93999999999999984</v>
      </c>
      <c r="C15" s="2">
        <f t="shared" si="0"/>
        <v>0.97999999999999987</v>
      </c>
      <c r="D15" s="2">
        <f t="shared" si="1"/>
        <v>0.88383605966109635</v>
      </c>
      <c r="E15" s="2">
        <f t="shared" si="2"/>
        <v>1.4088475033217829</v>
      </c>
      <c r="F15" s="2">
        <f t="shared" si="3"/>
        <v>0.62734686158522213</v>
      </c>
    </row>
    <row r="16" spans="1:6" x14ac:dyDescent="0.25">
      <c r="A16" s="2">
        <v>9</v>
      </c>
      <c r="B16" s="2">
        <f t="shared" si="4"/>
        <v>1.0199999999999998</v>
      </c>
      <c r="C16" s="2">
        <f t="shared" si="0"/>
        <v>1.0599999999999998</v>
      </c>
      <c r="D16" s="2">
        <f t="shared" si="1"/>
        <v>0.9119451403961305</v>
      </c>
      <c r="E16" s="2">
        <f t="shared" si="2"/>
        <v>1.2471788071629255</v>
      </c>
      <c r="F16" s="2">
        <f t="shared" si="3"/>
        <v>0.73120641174990586</v>
      </c>
    </row>
    <row r="17" spans="1:6" x14ac:dyDescent="0.25">
      <c r="A17" s="2">
        <v>10</v>
      </c>
      <c r="B17" s="2">
        <f t="shared" si="4"/>
        <v>1.0999999999999999</v>
      </c>
      <c r="C17" s="2">
        <f t="shared" si="0"/>
        <v>1.1399999999999999</v>
      </c>
      <c r="D17" s="2">
        <f t="shared" si="1"/>
        <v>0.93632016865375278</v>
      </c>
      <c r="E17" s="2">
        <f t="shared" si="2"/>
        <v>1.0715521819256382</v>
      </c>
      <c r="F17" s="2">
        <f t="shared" si="3"/>
        <v>0.87379801417709213</v>
      </c>
    </row>
    <row r="20" spans="1:6" x14ac:dyDescent="0.25">
      <c r="D20" t="s">
        <v>8</v>
      </c>
      <c r="F20" s="3">
        <f>B5*SUM(F7:F16)</f>
        <v>0.35649937196114695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 Метод 1</vt:lpstr>
      <vt:lpstr>Задание 1 Метод 2</vt:lpstr>
      <vt:lpstr>Задание 2 Метод 1</vt:lpstr>
      <vt:lpstr>Задание 2 Метод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2023-05-24T08:42:02Z</dcterms:modified>
</cp:coreProperties>
</file>