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студенты\21ИС-5\Сорокин\"/>
    </mc:Choice>
  </mc:AlternateContent>
  <xr:revisionPtr revIDLastSave="0" documentId="13_ncr:1_{64378F18-3A1A-4E86-A51A-138256EAC82A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" i="2" l="1"/>
  <c r="D8" i="2" s="1"/>
  <c r="E7" i="2"/>
  <c r="E6" i="2"/>
  <c r="F6" i="2" s="1"/>
  <c r="E6" i="1"/>
  <c r="D6" i="2"/>
  <c r="H6" i="2" s="1"/>
  <c r="H7" i="2"/>
  <c r="G6" i="2"/>
  <c r="G7" i="2"/>
  <c r="F7" i="2"/>
  <c r="H5" i="2"/>
  <c r="G5" i="2"/>
  <c r="F5" i="2"/>
  <c r="G5" i="1"/>
  <c r="D6" i="1" s="1"/>
  <c r="F5" i="1"/>
  <c r="H5" i="1"/>
  <c r="G8" i="2" l="1"/>
  <c r="H8" i="2"/>
  <c r="E8" i="2"/>
  <c r="F8" i="2" s="1"/>
  <c r="G6" i="1"/>
  <c r="D7" i="1" s="1"/>
  <c r="H6" i="1"/>
  <c r="F6" i="1"/>
  <c r="E7" i="1" s="1"/>
  <c r="G7" i="1" l="1"/>
  <c r="D8" i="1" s="1"/>
  <c r="H7" i="1"/>
  <c r="F7" i="1"/>
  <c r="E8" i="1" s="1"/>
  <c r="F8" i="1" s="1"/>
  <c r="G8" i="1" l="1"/>
  <c r="H8" i="1"/>
  <c r="D9" i="1" l="1"/>
  <c r="E9" i="1"/>
  <c r="F9" i="1" s="1"/>
  <c r="H9" i="1" l="1"/>
  <c r="G9" i="1"/>
</calcChain>
</file>

<file path=xl/sharedStrings.xml><?xml version="1.0" encoding="utf-8"?>
<sst xmlns="http://schemas.openxmlformats.org/spreadsheetml/2006/main" count="18" uniqueCount="9">
  <si>
    <t>[-1;0]</t>
  </si>
  <si>
    <t>№п/п</t>
  </si>
  <si>
    <t>an</t>
  </si>
  <si>
    <t>bn</t>
  </si>
  <si>
    <t>xn_кас=an</t>
  </si>
  <si>
    <t>xn_хорд=bn</t>
  </si>
  <si>
    <t>f(bn)</t>
  </si>
  <si>
    <t>f(an)</t>
  </si>
  <si>
    <t>f'(an)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</si>
</sst>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2" borderId="0" xfId="0" applyFill="1"/>
    <xf numFmtId="164" fontId="1" fillId="0" borderId="1" xfId="0" applyNumberFormat="1" applyFont="1" applyBorder="1"/>
    <xf numFmtId="164" fontId="0" fillId="3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202406</xdr:colOff>
      <xdr:row>0</xdr:row>
      <xdr:rowOff>41672</xdr:rowOff>
    </xdr:from>
    <xdr:ext cx="1641540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C1C3224-4390-479A-A221-0996CFC676A8}"/>
                </a:ext>
              </a:extLst>
            </xdr:cNvPr>
            <xdr:cNvSpPr txBox="1"/>
          </xdr:nvSpPr>
          <xdr:spPr>
            <a:xfrm>
              <a:off x="202406" y="41672"/>
              <a:ext cx="164154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tan</m:t>
                        </m:r>
                      </m:fName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0,47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+0,2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</m:e>
                    </m:func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C1C3224-4390-479A-A221-0996CFC676A8}"/>
                </a:ext>
              </a:extLst>
            </xdr:cNvPr>
            <xdr:cNvSpPr txBox="1"/>
          </xdr:nvSpPr>
          <xdr:spPr>
            <a:xfrm>
              <a:off x="202406" y="41672"/>
              <a:ext cx="164154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tan⁡〖(0,47𝑥+0,2)−〗  𝑥</a:t>
              </a:r>
              <a:r>
                <a:rPr lang="ru-RU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2=0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53579</xdr:colOff>
      <xdr:row>2</xdr:row>
      <xdr:rowOff>107157</xdr:rowOff>
    </xdr:from>
    <xdr:ext cx="2035621" cy="3419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172FDA1-85F0-4265-A1E2-6BAE23945D1A}"/>
                </a:ext>
              </a:extLst>
            </xdr:cNvPr>
            <xdr:cNvSpPr txBox="1"/>
          </xdr:nvSpPr>
          <xdr:spPr>
            <a:xfrm>
              <a:off x="53579" y="553641"/>
              <a:ext cx="2035621" cy="3419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p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𝑥𝑛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0,47</m:t>
                        </m:r>
                      </m:num>
                      <m:den>
                        <m:func>
                          <m:func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sSup>
                              <m:s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𝑐𝑜𝑠</m:t>
                                </m:r>
                              </m:e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fName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0,47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+0,2</m:t>
                                </m:r>
                              </m:e>
                            </m:d>
                          </m:e>
                        </m:func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−2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172FDA1-85F0-4265-A1E2-6BAE23945D1A}"/>
                </a:ext>
              </a:extLst>
            </xdr:cNvPr>
            <xdr:cNvSpPr txBox="1"/>
          </xdr:nvSpPr>
          <xdr:spPr>
            <a:xfrm>
              <a:off x="53579" y="553641"/>
              <a:ext cx="2035621" cy="3419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𝑓^′ (𝑥𝑛)=0,47/〖𝑐𝑜𝑠〗^2⁡(0,47𝑥+0,2) −2𝑥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279797</xdr:colOff>
      <xdr:row>0</xdr:row>
      <xdr:rowOff>77391</xdr:rowOff>
    </xdr:from>
    <xdr:ext cx="1729320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CAB495B-6C15-4434-AB64-A196F3E3F0FD}"/>
                </a:ext>
              </a:extLst>
            </xdr:cNvPr>
            <xdr:cNvSpPr txBox="1"/>
          </xdr:nvSpPr>
          <xdr:spPr>
            <a:xfrm>
              <a:off x="279797" y="77391"/>
              <a:ext cx="172932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−0,2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+0,3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+1,2=0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CAB495B-6C15-4434-AB64-A196F3E3F0FD}"/>
                </a:ext>
              </a:extLst>
            </xdr:cNvPr>
            <xdr:cNvSpPr txBox="1"/>
          </xdr:nvSpPr>
          <xdr:spPr>
            <a:xfrm>
              <a:off x="279797" y="77391"/>
              <a:ext cx="172932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ru-RU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3−0,2𝑥^2+0,3𝑥+1,2=0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261937</xdr:colOff>
      <xdr:row>2</xdr:row>
      <xdr:rowOff>47625</xdr:rowOff>
    </xdr:from>
    <xdr:ext cx="1651862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B4816EF-4DBB-4297-B506-38DE09AEC485}"/>
                </a:ext>
              </a:extLst>
            </xdr:cNvPr>
            <xdr:cNvSpPr txBox="1"/>
          </xdr:nvSpPr>
          <xdr:spPr>
            <a:xfrm>
              <a:off x="261937" y="559594"/>
              <a:ext cx="165186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p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𝑥𝑛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 3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latin typeface="Cambria Math" panose="02040503050406030204" pitchFamily="18" charset="0"/>
                      </a:rPr>
                      <m:t>−0,4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x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+0,3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B4816EF-4DBB-4297-B506-38DE09AEC485}"/>
                </a:ext>
              </a:extLst>
            </xdr:cNvPr>
            <xdr:cNvSpPr txBox="1"/>
          </xdr:nvSpPr>
          <xdr:spPr>
            <a:xfrm>
              <a:off x="261937" y="559594"/>
              <a:ext cx="165186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𝑓^′ (𝑥𝑛)= 3𝑥^2−0,4x+0,3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zoomScale="160" zoomScaleNormal="160" workbookViewId="0">
      <selection activeCell="E7" sqref="E7"/>
    </sheetView>
  </sheetViews>
  <sheetFormatPr defaultRowHeight="15" x14ac:dyDescent="0.25"/>
  <cols>
    <col min="1" max="1" width="32.7109375" customWidth="1"/>
    <col min="2" max="3" width="9.140625" style="3"/>
    <col min="4" max="4" width="11.5703125" style="3" customWidth="1"/>
    <col min="5" max="5" width="12.85546875" style="3" customWidth="1"/>
    <col min="6" max="8" width="9.140625" style="3"/>
  </cols>
  <sheetData>
    <row r="1" spans="1:8" ht="20.25" customHeight="1" x14ac:dyDescent="0.25"/>
    <row r="2" spans="1:8" x14ac:dyDescent="0.25">
      <c r="A2" t="s">
        <v>0</v>
      </c>
      <c r="H2"/>
    </row>
    <row r="3" spans="1:8" ht="46.5" customHeight="1" x14ac:dyDescent="0.25"/>
    <row r="4" spans="1:8" x14ac:dyDescent="0.25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 x14ac:dyDescent="0.25">
      <c r="A5" s="4">
        <v>0</v>
      </c>
      <c r="B5" s="5">
        <v>-1</v>
      </c>
      <c r="C5" s="5">
        <v>0</v>
      </c>
      <c r="D5" s="5">
        <v>-1</v>
      </c>
      <c r="E5" s="5">
        <v>0</v>
      </c>
      <c r="F5" s="5">
        <f>TAN(0.47*E5+0.2) - E5^2</f>
        <v>0.2027100355086725</v>
      </c>
      <c r="G5" s="5">
        <f>TAN(0.47*D5+0.2) - D5^2</f>
        <v>-1.2767581358750304</v>
      </c>
      <c r="H5" s="5">
        <f>(0.47/((COS(0.47*D5+0.2))^2)) - 2*D5</f>
        <v>2.5059996809133205</v>
      </c>
    </row>
    <row r="6" spans="1:8" x14ac:dyDescent="0.25">
      <c r="A6" s="4">
        <v>1</v>
      </c>
      <c r="B6" s="6"/>
      <c r="C6" s="6"/>
      <c r="D6" s="5">
        <f>D5-G5/H5</f>
        <v>-0.49051943398104847</v>
      </c>
      <c r="E6" s="5">
        <f>E5-F5*(D5-E5)/(G5-F5)</f>
        <v>-0.13701547585108489</v>
      </c>
      <c r="F6" s="5">
        <f t="shared" ref="F6:F15" si="0">TAN(0.47*E6+0.2) - E6^2</f>
        <v>0.1176668037451615</v>
      </c>
      <c r="G6" s="5">
        <f t="shared" ref="G6:G15" si="1">TAN(0.47*D6+0.2) - D6^2</f>
        <v>-0.2711629512869364</v>
      </c>
      <c r="H6" s="5">
        <f t="shared" ref="H6:H15" si="2">(0.47/((COS(0.47*D6+0.2))^2)) - 2*D6</f>
        <v>1.4514776245633156</v>
      </c>
    </row>
    <row r="7" spans="1:8" x14ac:dyDescent="0.25">
      <c r="A7" s="4">
        <v>2</v>
      </c>
      <c r="B7" s="6"/>
      <c r="C7" s="6"/>
      <c r="D7" s="5">
        <f t="shared" ref="D7:D15" si="3">D6-G6/H6</f>
        <v>-0.30370087977252791</v>
      </c>
      <c r="E7" s="5">
        <f t="shared" ref="E7:E15" si="4">E6-F6*(D6-E6)/(G6-F6)</f>
        <v>-0.24399206477232754</v>
      </c>
      <c r="F7" s="5">
        <f t="shared" si="0"/>
        <v>2.5999262825063665E-2</v>
      </c>
      <c r="G7" s="5">
        <f t="shared" si="1"/>
        <v>-3.4910974160276081E-2</v>
      </c>
      <c r="H7" s="5">
        <f t="shared" si="2"/>
        <v>1.0789461584021693</v>
      </c>
    </row>
    <row r="8" spans="1:8" x14ac:dyDescent="0.25">
      <c r="A8" s="4">
        <v>3</v>
      </c>
      <c r="B8" s="6"/>
      <c r="C8" s="6"/>
      <c r="D8" s="5">
        <f t="shared" si="3"/>
        <v>-0.27134433084892234</v>
      </c>
      <c r="E8" s="5">
        <f t="shared" si="4"/>
        <v>-0.2694785059847784</v>
      </c>
      <c r="F8" s="5">
        <f>TAN(0.47*E8+0.2) - E8^2</f>
        <v>8.5824071263647383E-4</v>
      </c>
      <c r="G8" s="5">
        <f>TAN(0.47*D8+0.2) - D8^2</f>
        <v>-1.0324555489854975E-3</v>
      </c>
      <c r="H8" s="5">
        <f t="shared" si="2"/>
        <v>1.0151655975018823</v>
      </c>
    </row>
    <row r="9" spans="1:8" x14ac:dyDescent="0.25">
      <c r="A9" s="4">
        <v>4</v>
      </c>
      <c r="B9" s="9"/>
      <c r="C9" s="10"/>
      <c r="D9" s="8">
        <f t="shared" si="3"/>
        <v>-0.27032729919268206</v>
      </c>
      <c r="E9" s="8">
        <f t="shared" si="4"/>
        <v>-0.2703254568639662</v>
      </c>
      <c r="F9" s="7">
        <f t="shared" si="0"/>
        <v>8.4893699886512408E-7</v>
      </c>
      <c r="G9" s="7">
        <f t="shared" si="1"/>
        <v>-1.0176415937979133E-6</v>
      </c>
      <c r="H9" s="5">
        <f t="shared" si="2"/>
        <v>1.0131644346144875</v>
      </c>
    </row>
    <row r="10" spans="1:8" x14ac:dyDescent="0.25">
      <c r="B10"/>
      <c r="C10"/>
      <c r="D10"/>
      <c r="E10"/>
      <c r="F10"/>
      <c r="G10"/>
      <c r="H10"/>
    </row>
    <row r="11" spans="1:8" x14ac:dyDescent="0.25">
      <c r="B11"/>
      <c r="C11"/>
      <c r="D11"/>
      <c r="E11"/>
      <c r="F11"/>
      <c r="G11"/>
      <c r="H11"/>
    </row>
    <row r="12" spans="1:8" x14ac:dyDescent="0.25">
      <c r="B12"/>
      <c r="C12"/>
      <c r="D12"/>
      <c r="E12"/>
      <c r="F12"/>
      <c r="G12"/>
      <c r="H12"/>
    </row>
    <row r="13" spans="1:8" x14ac:dyDescent="0.25">
      <c r="B13"/>
      <c r="C13"/>
      <c r="D13"/>
      <c r="E13"/>
      <c r="F13"/>
      <c r="G13"/>
      <c r="H13"/>
    </row>
    <row r="14" spans="1:8" x14ac:dyDescent="0.25">
      <c r="B14"/>
      <c r="C14"/>
      <c r="D14"/>
      <c r="E14"/>
      <c r="F14"/>
      <c r="G14"/>
      <c r="H14"/>
    </row>
    <row r="15" spans="1:8" x14ac:dyDescent="0.25">
      <c r="B15"/>
      <c r="C15"/>
      <c r="D15"/>
      <c r="E15"/>
      <c r="F15"/>
      <c r="G15"/>
      <c r="H1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B2F0-AD3C-42CA-945F-3B8F44E4C919}">
  <dimension ref="A1:H8"/>
  <sheetViews>
    <sheetView tabSelected="1" zoomScale="160" zoomScaleNormal="160" workbookViewId="0">
      <selection activeCell="G9" sqref="G9"/>
    </sheetView>
  </sheetViews>
  <sheetFormatPr defaultRowHeight="15" x14ac:dyDescent="0.25"/>
  <cols>
    <col min="1" max="1" width="36.7109375" customWidth="1"/>
    <col min="2" max="3" width="9.140625" style="3"/>
    <col min="4" max="4" width="10.42578125" style="3" customWidth="1"/>
    <col min="5" max="5" width="11.42578125" style="3" customWidth="1"/>
    <col min="6" max="8" width="9.140625" style="3"/>
  </cols>
  <sheetData>
    <row r="1" spans="1:8" ht="25.5" customHeight="1" x14ac:dyDescent="0.25"/>
    <row r="2" spans="1:8" x14ac:dyDescent="0.25">
      <c r="A2" t="s">
        <v>0</v>
      </c>
    </row>
    <row r="3" spans="1:8" ht="21" customHeight="1" x14ac:dyDescent="0.25"/>
    <row r="4" spans="1:8" x14ac:dyDescent="0.25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 x14ac:dyDescent="0.25">
      <c r="A5" s="4">
        <v>0</v>
      </c>
      <c r="B5" s="5">
        <v>-1</v>
      </c>
      <c r="C5" s="5">
        <v>0</v>
      </c>
      <c r="D5" s="5">
        <v>-1</v>
      </c>
      <c r="E5" s="5">
        <v>0</v>
      </c>
      <c r="F5" s="5">
        <f>E5^3 - 0.2*(E5^2) + 0.3*E5 + 1.2</f>
        <v>1.2</v>
      </c>
      <c r="G5" s="5">
        <f>D5^3 - 0.2*(D5^2) + 0.3*D5 + 1.2</f>
        <v>-0.30000000000000004</v>
      </c>
      <c r="H5" s="5">
        <f>3*(D5^2) - 0.4*D5 + 0.3</f>
        <v>3.6999999999999997</v>
      </c>
    </row>
    <row r="6" spans="1:8" x14ac:dyDescent="0.25">
      <c r="A6" s="4">
        <v>1</v>
      </c>
      <c r="B6" s="11"/>
      <c r="C6" s="12"/>
      <c r="D6" s="5">
        <f>D5-G5/H5</f>
        <v>-0.91891891891891886</v>
      </c>
      <c r="E6" s="5">
        <f>E5-F5*(D5-E5)/(G5-F5)</f>
        <v>-0.79999999999999993</v>
      </c>
      <c r="F6" s="5">
        <f t="shared" ref="F6:F15" si="0">E6^3 - 0.2*(E6^2) + 0.3*E6 + 1.2</f>
        <v>0.32000000000000006</v>
      </c>
      <c r="G6" s="5">
        <f t="shared" ref="G6:G15" si="1">D6^3 - 0.2*(D6^2) + 0.3*D6 + 1.2</f>
        <v>-2.0504214952717259E-2</v>
      </c>
      <c r="H6" s="5">
        <f t="shared" ref="H6:H15" si="2">3*(D6^2) - 0.4*D6 + 0.3</f>
        <v>3.2008035062089109</v>
      </c>
    </row>
    <row r="7" spans="1:8" x14ac:dyDescent="0.25">
      <c r="A7" s="4">
        <v>2</v>
      </c>
      <c r="B7" s="13"/>
      <c r="C7" s="14"/>
      <c r="D7" s="5">
        <f t="shared" ref="D7:D15" si="3">D6-G6/H6</f>
        <v>-0.91251296025480744</v>
      </c>
      <c r="E7" s="5">
        <f t="shared" ref="E7:E15" si="4">E6-F6*(D6-E6)/(G6-F6)</f>
        <v>-0.91175795300900542</v>
      </c>
      <c r="F7" s="5">
        <f t="shared" si="0"/>
        <v>2.2653762405413502E-3</v>
      </c>
      <c r="G7" s="5">
        <f t="shared" si="1"/>
        <v>-1.2107149935669526E-4</v>
      </c>
      <c r="H7" s="5">
        <f t="shared" si="2"/>
        <v>3.1630448920008982</v>
      </c>
    </row>
    <row r="8" spans="1:8" x14ac:dyDescent="0.25">
      <c r="A8" s="4">
        <v>3</v>
      </c>
      <c r="B8" s="9"/>
      <c r="C8" s="10"/>
      <c r="D8" s="8">
        <f t="shared" si="3"/>
        <v>-0.91247468337177529</v>
      </c>
      <c r="E8" s="8">
        <f t="shared" si="4"/>
        <v>-0.91247465652087434</v>
      </c>
      <c r="F8" s="7">
        <f t="shared" si="0"/>
        <v>8.0620774500772541E-8</v>
      </c>
      <c r="G8" s="7">
        <f t="shared" si="1"/>
        <v>-4.3037904351450607E-9</v>
      </c>
      <c r="H8" s="5">
        <f t="shared" si="2"/>
        <v>3.1628200167319749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S.S.</dc:creator>
  <cp:lastModifiedBy>Student S.S.</cp:lastModifiedBy>
  <dcterms:created xsi:type="dcterms:W3CDTF">2015-06-05T18:19:34Z</dcterms:created>
  <dcterms:modified xsi:type="dcterms:W3CDTF">2023-02-22T04:53:09Z</dcterms:modified>
</cp:coreProperties>
</file>